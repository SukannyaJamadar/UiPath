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tables/table17.xml" ContentType="application/vnd.openxmlformats-officedocument.spreadsheetml.table+xml"/>
  <Override PartName="/xl/queryTables/queryTable10.xml" ContentType="application/vnd.openxmlformats-officedocument.spreadsheetml.query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2.xml" ContentType="application/vnd.openxmlformats-officedocument.spreadsheetml.comments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akka\Desktop\"/>
    </mc:Choice>
  </mc:AlternateContent>
  <xr:revisionPtr revIDLastSave="0" documentId="13_ncr:1_{A07FC255-1CDF-4446-88B3-3BD25C1EB4B1}" xr6:coauthVersionLast="45" xr6:coauthVersionMax="45" xr10:uidLastSave="{00000000-0000-0000-0000-000000000000}"/>
  <bookViews>
    <workbookView xWindow="-110" yWindow="-110" windowWidth="19420" windowHeight="10420" tabRatio="870" firstSheet="11" activeTab="16" xr2:uid="{9956ED74-3C1B-44FE-AAD1-4AD6E826C22E}"/>
  </bookViews>
  <sheets>
    <sheet name="COMMON" sheetId="1" r:id="rId1"/>
    <sheet name="Profile Synch-DK" sheetId="2" r:id="rId2"/>
    <sheet name="Profile Synch-Profiles" sheetId="3" r:id="rId3"/>
    <sheet name="FOP Setup" sheetId="4" r:id="rId4"/>
    <sheet name="Corporate Deals-Air" sheetId="5" r:id="rId5"/>
    <sheet name="Corporate Deals-Car" sheetId="6" r:id="rId6"/>
    <sheet name="Corporate Deals-Hotel" sheetId="7" r:id="rId7"/>
    <sheet name="Travel Configuration-DK" sheetId="8" r:id="rId8"/>
    <sheet name="Travel Configuration-Company" sheetId="9" r:id="rId9"/>
    <sheet name="Travel Configuration-General" sheetId="10" r:id="rId10"/>
    <sheet name="Client Setup L0" sheetId="11" r:id="rId11"/>
    <sheet name="Client Setup L1" sheetId="12" r:id="rId12"/>
    <sheet name="Client Setup L2" sheetId="13" r:id="rId13"/>
    <sheet name="Policy" sheetId="15" r:id="rId14"/>
    <sheet name="ServiceNow" sheetId="16" r:id="rId15"/>
    <sheet name="ServiceNow-DK" sheetId="17" r:id="rId16"/>
    <sheet name="Client Setup Guest" sheetId="14" r:id="rId17"/>
    <sheet name="Account Set Up" sheetId="18" state="hidden" r:id="rId18"/>
    <sheet name="Supplier - Air" sheetId="19" state="hidden" r:id="rId19"/>
    <sheet name="Suppliers - Non Air" sheetId="20" state="hidden" r:id="rId20"/>
    <sheet name="OneForm_RawData" sheetId="21" state="hidden" r:id="rId21"/>
    <sheet name="Country Mapping" sheetId="22" state="hidden" r:id="rId22"/>
  </sheets>
  <definedNames>
    <definedName name="_xlnm._FilterDatabase" localSheetId="21" hidden="1">'Country Mapping'!$A$1:$J$18</definedName>
    <definedName name="_xlcn.WorksheetConnection_StandardTemplate_KDS_EMEA.xlsmAccountSetUp1" hidden="1">AccountSetUp[]</definedName>
    <definedName name="CAPID4">Table16[CAPID4]</definedName>
    <definedName name="CardType">CardData[CardType]</definedName>
    <definedName name="Client_Name">OneForm_RawData!$C$10</definedName>
    <definedName name="Concur_Pre_Trip_Approval" comment="Value for the column &quot;Will pre-trip approval / notification enabled on site?&quot;">OneForm_RawData!$C$3</definedName>
    <definedName name="Country">OneForm_RawData!$C$12</definedName>
    <definedName name="CountryCode">OneForm_RawData!$C$19</definedName>
    <definedName name="CountryName">OneForm_RawData!$C$12</definedName>
    <definedName name="ExternalData_1" localSheetId="16" hidden="1">'Client Setup Guest'!$A$1:$L$2</definedName>
    <definedName name="ExternalData_1" localSheetId="12" hidden="1">'Client Setup L2'!$A$1:$I$2</definedName>
    <definedName name="ExternalData_1" localSheetId="4" hidden="1">'Corporate Deals-Air'!$A$1:$D$2</definedName>
    <definedName name="ExternalData_1" localSheetId="5" hidden="1">'Corporate Deals-Car'!$A$1:$D$2</definedName>
    <definedName name="ExternalData_1" localSheetId="6" hidden="1">'Corporate Deals-Hotel'!$A$1:$B$2</definedName>
    <definedName name="ExternalData_1" localSheetId="3" hidden="1">'FOP Setup'!$A$1:$E$2</definedName>
    <definedName name="ExternalData_1" localSheetId="1" hidden="1">'Profile Synch-DK'!$A$1:$C$2</definedName>
    <definedName name="ExternalData_1" localSheetId="2" hidden="1">'Profile Synch-Profiles'!$A$1:$C$2</definedName>
    <definedName name="ExternalData_1" localSheetId="15" hidden="1">'ServiceNow-DK'!$A$1:$B$2</definedName>
    <definedName name="ExternalData_1" localSheetId="7" hidden="1">'Travel Configuration-DK'!$A$1:$D$2</definedName>
    <definedName name="Full_CAPID">OneForm_RawData!$C$2</definedName>
    <definedName name="isMtpSelected">OneForm_RawData!$C$16</definedName>
    <definedName name="KdsEmeaClientName">KDSEMEACommon[Client Name]</definedName>
    <definedName name="KdsEmeaGDS">KDSEMEACommon[GDS]</definedName>
    <definedName name="Online_DK">OneForm_RawData!$C$9</definedName>
    <definedName name="PlatformCode">Table19[PlatformCode]</definedName>
    <definedName name="PlatformName">OneForm_RawData!$C$8</definedName>
    <definedName name="Region">OneForm_RawData!$C$18</definedName>
    <definedName name="selectedMTP">OneForm_RawData!$C$17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ccountSetUp" name="AccountSetUp" connection="WorksheetConnection_StandardTemplate_KDS_EMEA.xlsm!AccountSetUp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2" l="1" a="1"/>
  <c r="A2" i="12" s="1"/>
  <c r="B2" i="11" a="1"/>
  <c r="B2" i="11" s="1"/>
  <c r="A2" i="11" a="1"/>
  <c r="A2" i="11" s="1"/>
  <c r="B2" i="12"/>
  <c r="D2" i="16" l="1"/>
  <c r="H2" i="1" l="1"/>
  <c r="B24" i="22" l="1"/>
  <c r="O23" i="21" l="1"/>
  <c r="A2" i="1" s="1" a="1"/>
  <c r="A2" i="1" s="1"/>
  <c r="O20" i="21"/>
  <c r="G2" i="1" s="1" a="1"/>
  <c r="G2" i="1" s="1"/>
  <c r="O17" i="21" l="1"/>
  <c r="L2" i="12" s="1" a="1"/>
  <c r="L2" i="12" s="1"/>
  <c r="O14" i="21"/>
  <c r="B2" i="16" s="1" a="1"/>
  <c r="B2" i="16" s="1"/>
  <c r="O2" i="12" l="1" a="1"/>
  <c r="O2" i="12" s="1"/>
  <c r="B2" i="1" a="1"/>
  <c r="B2" i="1" s="1"/>
  <c r="O8" i="21"/>
  <c r="O11" i="21"/>
  <c r="F2" i="1" s="1" a="1"/>
  <c r="F2" i="1" s="1"/>
  <c r="E2" i="1" l="1" a="1"/>
  <c r="E2" i="1" s="1"/>
  <c r="D2" i="1" a="1"/>
  <c r="D2" i="1" s="1"/>
  <c r="G2" i="12"/>
  <c r="O5" i="21"/>
  <c r="G2" i="11"/>
  <c r="O2" i="21"/>
  <c r="A2" i="10"/>
  <c r="G2" i="21" l="1"/>
  <c r="F2" i="21"/>
  <c r="A2" i="16" a="1"/>
  <c r="A2" i="16" s="1"/>
  <c r="C2" i="16" a="1"/>
  <c r="C2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Satyanarayana, Praveen</author>
  </authors>
  <commentList>
    <comment ref="B1" authorId="0" shapeId="0" xr:uid="{4D0BBD35-C8C5-4E56-B7DB-50565379826A}">
      <text>
        <r>
          <rPr>
            <b/>
            <sz val="9"/>
            <color indexed="81"/>
            <rFont val="Tahoma"/>
            <family val="2"/>
          </rPr>
          <t>Satyanarayana, Praveen:</t>
        </r>
        <r>
          <rPr>
            <sz val="9"/>
            <color indexed="81"/>
            <rFont val="Tahoma"/>
            <family val="2"/>
          </rPr>
          <t xml:space="preserve">
Value is for this entire table is constructed using Power Query. Check "Queries &amp; Conections" under Data tab to know the tables.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Satyanarayana, Praveen</author>
  </authors>
  <commentList>
    <comment ref="F1" authorId="0" shapeId="0" xr:uid="{15BFEBE5-2B7E-4690-BB94-EA011F6C0D15}">
      <text>
        <r>
          <rPr>
            <b/>
            <sz val="9"/>
            <color indexed="81"/>
            <rFont val="Tahoma"/>
            <family val="2"/>
          </rPr>
          <t>Satyanarayana, Praveen:</t>
        </r>
        <r>
          <rPr>
            <sz val="9"/>
            <color indexed="81"/>
            <rFont val="Tahoma"/>
            <family val="2"/>
          </rPr>
          <t xml:space="preserve">
Do not change the formula in the next row.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ED662-5B99-474F-9B3D-318424F8626B}" keepAlive="1" name="Query - AccountSetUp_ClientSetupGuest" description="Connection to the 'AccountSetUp_ClientSetupGuest' query in the workbook." type="5" refreshedVersion="6" saveData="1">
    <dbPr connection="Provider=Microsoft.Mashup.OleDb.1;Data Source=$Workbook$;Location=AccountSetUp_ClientSetupGuest;Extended Properties=&quot;&quot;" command="SELECT * FROM [AccountSetUp_ClientSetupGuest]"/>
  </connection>
  <connection id="2" xr16:uid="{79FEF1AA-4E84-483E-8012-9D67CBFFA984}" keepAlive="1" name="Query - AccountSetUp_ClientSetupL2" description="Connection to the 'AccountSetUp_ClientSetupL2' query in the workbook." type="5" refreshedVersion="6" saveData="1">
    <dbPr connection="Provider=Microsoft.Mashup.OleDb.1;Data Source=$Workbook$;Location=AccountSetUp_ClientSetupL2;Extended Properties=&quot;&quot;" command="SELECT * FROM [AccountSetUp_ClientSetupL2]"/>
  </connection>
  <connection id="3" xr16:uid="{30F5C88D-C85D-4CD8-B5F0-3970482E84EB}" keepAlive="1" name="Query - AccountSetUp_FOP-Setup" description="Connection to the 'AccountSetUp_FOP-Setup' query in the workbook." type="5" refreshedVersion="6" saveData="1">
    <dbPr connection="Provider=Microsoft.Mashup.OleDb.1;Data Source=$Workbook$;Location=AccountSetUp_FOP-Setup;Extended Properties=&quot;&quot;" command="SELECT * FROM [AccountSetUp_FOP-Setup]"/>
  </connection>
  <connection id="4" xr16:uid="{DF08448F-FC3C-479C-96F3-20DDA76DFE81}" keepAlive="1" name="Query - AccountSetUp_ProfileSynch-DK" description="Connection to the 'AccountSetUp_ProfileSynch-DK' query in the workbook." type="5" refreshedVersion="6" saveData="1">
    <dbPr connection="Provider=Microsoft.Mashup.OleDb.1;Data Source=$Workbook$;Location=AccountSetUp_ProfileSynch-DK;Extended Properties=&quot;&quot;" command="SELECT * FROM [AccountSetUp_ProfileSynch-DK]"/>
  </connection>
  <connection id="5" xr16:uid="{20C20E16-010F-42D7-9787-F11D4BD2A075}" keepAlive="1" name="Query - AccountSetUp_ProfileSynch-Profiles" description="Connection to the 'AccountSetUp_ProfileSynch-Profiles' query in the workbook." type="5" refreshedVersion="6" saveData="1">
    <dbPr connection="Provider=Microsoft.Mashup.OleDb.1;Data Source=$Workbook$;Location=AccountSetUp_ProfileSynch-Profiles;Extended Properties=&quot;&quot;" command="SELECT * FROM [AccountSetUp_ProfileSynch-Profiles]"/>
  </connection>
  <connection id="6" xr16:uid="{A14D7F3E-A4C8-43A5-A4DD-9D09F172C702}" keepAlive="1" name="Query - AccountSetUp_ServiceNow-DK" description="Connection to the 'AccountSetUp_ServiceNow-DK' query in the workbook." type="5" refreshedVersion="6" saveData="1">
    <dbPr connection="Provider=Microsoft.Mashup.OleDb.1;Data Source=$Workbook$;Location=AccountSetUp_ServiceNow-DK;Extended Properties=&quot;&quot;" command="SELECT * FROM [AccountSetUp_ServiceNow-DK]"/>
  </connection>
  <connection id="7" xr16:uid="{9A30F9CF-4A5B-4BA0-B4BA-63489402A7FD}" keepAlive="1" name="Query - AccountSetUp_TravelConfiguration-DK" description="Connection to the 'AccountSetUp_TravelConfiguration-DK' query in the workbook." type="5" refreshedVersion="6" saveData="1">
    <dbPr connection="Provider=Microsoft.Mashup.OleDb.1;Data Source=$Workbook$;Location=AccountSetUp_TravelConfiguration-DK;Extended Properties=&quot;&quot;" command="SELECT * FROM [AccountSetUp_TravelConfiguration-DK]"/>
  </connection>
  <connection id="8" xr16:uid="{359ACB9F-3CA5-4662-9AA1-722D0A0CB592}" keepAlive="1" name="Query - CompanyName" description="Connection to the 'CompanyName' query in the workbook." type="5" refreshedVersion="0" saveData="1">
    <dbPr connection="Provider=Microsoft.Mashup.OleDb.1;Data Source=$Workbook$;Location=CompanyName;Extended Properties=&quot;&quot;" command="SELECT * FROM [CompanyName]"/>
  </connection>
  <connection id="9" xr16:uid="{FA046C8A-F277-4D54-8844-F39E79DBA98C}" keepAlive="1" name="Query - Corporate-Deals-Air" description="Connection to the 'Corporate-Deals-Air' query in the workbook." type="5" refreshedVersion="6" saveData="1">
    <dbPr connection="Provider=Microsoft.Mashup.OleDb.1;Data Source=$Workbook$;Location=Corporate-Deals-Air;Extended Properties=&quot;&quot;" command="SELECT * FROM [Corporate-Deals-Air]"/>
  </connection>
  <connection id="10" xr16:uid="{C4316E2F-EE4E-443B-9F53-D9D3D6EF575C}" keepAlive="1" name="Query - CorporateDeals-Car" description="Connection to the 'CorporateDeals-Car' query in the workbook." type="5" refreshedVersion="6" saveData="1">
    <dbPr connection="Provider=Microsoft.Mashup.OleDb.1;Data Source=$Workbook$;Location=CorporateDeals-Car;Extended Properties=&quot;&quot;" command="SELECT * FROM [CorporateDeals-Car]"/>
  </connection>
  <connection id="11" xr16:uid="{4F7CBEE1-31F0-4AD7-BBAF-DEF9CE9BDBA2}" keepAlive="1" name="Query - CorporateDeals-Hotel" description="Connection to the 'CorporateDeals-Hotel' query in the workbook." type="5" refreshedVersion="6" saveData="1">
    <dbPr connection="Provider=Microsoft.Mashup.OleDb.1;Data Source=$Workbook$;Location=CorporateDeals-Hotel;Extended Properties=&quot;&quot;" command="SELECT * FROM [CorporateDeals-Hotel]"/>
  </connection>
  <connection id="12" xr16:uid="{F99AC0D1-D16E-4908-A402-FBEA91D254E4}" keepAlive="1" name="Query - EnableGuestBooking" description="Connection to the 'EnableGuestBooking' query in the workbook." type="5" refreshedVersion="0" saveData="1">
    <dbPr connection="Provider=Microsoft.Mashup.OleDb.1;Data Source=$Workbook$;Location=EnableGuestBooking;Extended Properties=&quot;&quot;" command="SELECT * FROM [EnableGuestBooking]"/>
  </connection>
  <connection id="13" xr16:uid="{3AB0BD93-2F02-40FC-A824-5F29E8BC0FC1}" keepAlive="1" name="Query - SelectedCountry" description="Connection to the 'SelectedCountry' query in the workbook." type="5" refreshedVersion="0" saveData="1">
    <dbPr connection="Provider=Microsoft.Mashup.OleDb.1;Data Source=$Workbook$;Location=SelectedCountry;Extended Properties=&quot;&quot;" command="SELECT * FROM [SelectedCountry]"/>
  </connection>
  <connection id="14" xr16:uid="{02871293-939A-41C9-B5D5-607984E092B8}" keepAlive="1" name="Query - SelectedCountryCode" description="Connection to the 'SelectedCountryCode' query in the workbook." type="5" refreshedVersion="0" background="1">
    <dbPr connection="Provider=Microsoft.Mashup.OleDb.1;Data Source=$Workbook$;Location=SelectedCountryCode;Extended Properties=&quot;&quot;" command="SELECT * FROM [SelectedCountryCode]"/>
  </connection>
  <connection id="15" xr16:uid="{0E9661A0-AED1-4E29-A134-23C34D22666B}" keepAlive="1" name="Query - selectedGDS" description="Connection to the 'selectedGDS' query in the workbook." type="5" refreshedVersion="0" background="1">
    <dbPr connection="Provider=Microsoft.Mashup.OleDb.1;Data Source=$Workbook$;Location=selectedGDS;Extended Properties=&quot;&quot;" command="SELECT * FROM [selectedGDS]"/>
  </connection>
  <connection id="16" xr16:uid="{B53C9144-11EA-43CD-B811-F1DC6AE25CE6}" keepAlive="1" name="Query - truncatedPlatformName" description="Connection to the 'truncatedPlatformName' query in the workbook." type="5" refreshedVersion="0" saveData="1">
    <dbPr connection="Provider=Microsoft.Mashup.OleDb.1;Data Source=$Workbook$;Location=truncatedPlatformName;Extended Properties=&quot;&quot;" command="SELECT * FROM [truncatedPlatformName]"/>
  </connection>
  <connection id="17" xr16:uid="{7340912D-69A6-4B16-B6D3-D42D77331163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8" xr16:uid="{549B48AB-5547-423F-86F6-ADF5C4434F7A}" name="WorksheetConnection_StandardTemplate_KDS_EMEA.xlsm!AccountSetUp" type="102" refreshedVersion="6" minRefreshableVersion="5" saveData="1">
    <extLst>
      <ext xmlns:x15="http://schemas.microsoft.com/office/spreadsheetml/2010/11/main" uri="{DE250136-89BD-433C-8126-D09CA5730AF9}">
        <x15:connection id="AccountSetUp">
          <x15:rangePr sourceName="_xlcn.WorksheetConnection_StandardTemplate_KDS_EMEA.xlsmAccountSetUp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<sst xmlns="http://schemas.openxmlformats.org/spreadsheetml/2006/main" count="435" uniqueCount="222">
  <si>
    <t>Region</t>
  </si>
  <si>
    <t>Client Name</t>
  </si>
  <si>
    <t>GDS</t>
  </si>
  <si>
    <t>SERVICE NOW COUNTRY NAME</t>
  </si>
  <si>
    <t>COUNTRY CODE</t>
  </si>
  <si>
    <t>NATIONALITY</t>
  </si>
  <si>
    <t>PLATFORM</t>
  </si>
  <si>
    <t>COUNTRY</t>
  </si>
  <si>
    <t>Type of Payment</t>
  </si>
  <si>
    <t>DK Name</t>
  </si>
  <si>
    <t>DK#</t>
  </si>
  <si>
    <t>Online Default Value</t>
  </si>
  <si>
    <t>Default Value</t>
  </si>
  <si>
    <t>CLIENT ID</t>
  </si>
  <si>
    <t>Default Name</t>
  </si>
  <si>
    <t>Supplier</t>
  </si>
  <si>
    <t>Corporate ID</t>
  </si>
  <si>
    <t>CRS</t>
  </si>
  <si>
    <t>Longitude</t>
  </si>
  <si>
    <t>Latitude</t>
  </si>
  <si>
    <t>State</t>
  </si>
  <si>
    <t>Country</t>
  </si>
  <si>
    <t>Zip Code</t>
  </si>
  <si>
    <t>City</t>
  </si>
  <si>
    <t>Address</t>
  </si>
  <si>
    <t>Display Name</t>
  </si>
  <si>
    <t>Neo Expense</t>
  </si>
  <si>
    <t>ACEBRO</t>
  </si>
  <si>
    <t>RPCHANGE</t>
  </si>
  <si>
    <t>Company Name</t>
  </si>
  <si>
    <t>.</t>
  </si>
  <si>
    <t>ZIP Code</t>
  </si>
  <si>
    <t>Email to</t>
  </si>
  <si>
    <t>Email from</t>
  </si>
  <si>
    <t>Company ID</t>
  </si>
  <si>
    <t>Before PurchaseHold</t>
  </si>
  <si>
    <t>Platform</t>
  </si>
  <si>
    <t>Explant Offline Branch Number</t>
  </si>
  <si>
    <t>Expiration</t>
  </si>
  <si>
    <t>Guest Booking</t>
  </si>
  <si>
    <t>Booking on Hold</t>
  </si>
  <si>
    <t>Email</t>
  </si>
  <si>
    <t>Phone</t>
  </si>
  <si>
    <t>Car</t>
  </si>
  <si>
    <t>Hotel Maps</t>
  </si>
  <si>
    <t>Hotel</t>
  </si>
  <si>
    <t>Rail</t>
  </si>
  <si>
    <t>Transportation</t>
  </si>
  <si>
    <t>DM Email</t>
  </si>
  <si>
    <t>DM Name</t>
  </si>
  <si>
    <t>MTP trigger</t>
  </si>
  <si>
    <t>Customer Name</t>
  </si>
  <si>
    <t>DK</t>
  </si>
  <si>
    <t>Group Name</t>
  </si>
  <si>
    <t xml:space="preserve">Demat Live date </t>
  </si>
  <si>
    <t>Legal entity e-invoicing</t>
  </si>
  <si>
    <t>English language e-invoices</t>
  </si>
  <si>
    <t>Air Fare Savings</t>
  </si>
  <si>
    <t>Assistant Access ,Note (post-it), Invoice validation, Bulk print</t>
  </si>
  <si>
    <t>Top User E-mail</t>
  </si>
  <si>
    <t xml:space="preserve">Top User name </t>
  </si>
  <si>
    <t>Website</t>
  </si>
  <si>
    <t>Email Domains (separate multiple with a comma)</t>
  </si>
  <si>
    <t>Customer Main Phone Contact</t>
  </si>
  <si>
    <t>E-invoice Central mailbox Email Address</t>
  </si>
  <si>
    <t>Invoice / E-invoice set up</t>
  </si>
  <si>
    <t>Client ID</t>
  </si>
  <si>
    <t>Online Company Profile Name (Amadeus only)</t>
  </si>
  <si>
    <t>Offline Company Profile Name (Amadeus only)</t>
  </si>
  <si>
    <t>Online RECLOC/STAR/SABRE PROFILE/BAR</t>
  </si>
  <si>
    <t>Offline RECLOC/STAR/SABRE PROFILE/BAR (for the profile synch)</t>
  </si>
  <si>
    <t>Profile Synch OID</t>
  </si>
  <si>
    <t>Note / update / status</t>
  </si>
  <si>
    <t>Car - FoP</t>
  </si>
  <si>
    <t>Hotel - FoP</t>
  </si>
  <si>
    <t>Rail - FoP</t>
  </si>
  <si>
    <t>Air (webfares) FoP</t>
  </si>
  <si>
    <t>Air (GDS) FoP</t>
  </si>
  <si>
    <t>Current AIR FoP</t>
  </si>
  <si>
    <t>Card Provider</t>
  </si>
  <si>
    <t>Tax Registration number</t>
  </si>
  <si>
    <t>Postal Code</t>
  </si>
  <si>
    <t>Legal entity name</t>
  </si>
  <si>
    <t>Phase</t>
  </si>
  <si>
    <t>Notes</t>
  </si>
  <si>
    <t>Status</t>
  </si>
  <si>
    <t>Perks ID</t>
  </si>
  <si>
    <t>Air Corporate Loyalty Program Name</t>
  </si>
  <si>
    <t>GDS Fare Loading codes</t>
  </si>
  <si>
    <t>Contact</t>
  </si>
  <si>
    <t>TOUR CODE</t>
  </si>
  <si>
    <t>TKT DESIGNATOR</t>
  </si>
  <si>
    <t>OSI</t>
  </si>
  <si>
    <t>Airlines included in the contract</t>
  </si>
  <si>
    <t>Supplier name</t>
  </si>
  <si>
    <t>Status Notes</t>
  </si>
  <si>
    <t>Point of Sale Validity - Which Countries can this deal be sold from?</t>
  </si>
  <si>
    <t>Rate Information</t>
  </si>
  <si>
    <t>Discount code</t>
  </si>
  <si>
    <t>Discount Code Type</t>
  </si>
  <si>
    <t>Contact Details</t>
  </si>
  <si>
    <t>Global or Local</t>
  </si>
  <si>
    <t>Supplier Type</t>
  </si>
  <si>
    <t>Worksheet</t>
  </si>
  <si>
    <t>Column Name</t>
  </si>
  <si>
    <t>Value</t>
  </si>
  <si>
    <t>CardType</t>
  </si>
  <si>
    <t>CardUsage</t>
  </si>
  <si>
    <t>Country Name</t>
  </si>
  <si>
    <t>Country Code</t>
  </si>
  <si>
    <t>Online Order Form</t>
  </si>
  <si>
    <t>Full CAPID</t>
  </si>
  <si>
    <t>Do not insert or remove any rows in between other rows in this table. Please append data to this table if needed.</t>
  </si>
  <si>
    <t>United States</t>
  </si>
  <si>
    <t>US</t>
  </si>
  <si>
    <t>Concur Pre-Trip Approval</t>
  </si>
  <si>
    <t>Company Travel Configuration</t>
  </si>
  <si>
    <t>Client Setup L2</t>
  </si>
  <si>
    <t>COMMON</t>
  </si>
  <si>
    <t>DK # Online</t>
  </si>
  <si>
    <t>DMName</t>
  </si>
  <si>
    <t>OLBT</t>
  </si>
  <si>
    <t>Expense Client</t>
  </si>
  <si>
    <t>KDS-EMEA-ServiceNow</t>
  </si>
  <si>
    <t>MTP Flag</t>
  </si>
  <si>
    <t>MTP Selected</t>
  </si>
  <si>
    <t>E-invoice Type</t>
  </si>
  <si>
    <t>Enter email Address</t>
  </si>
  <si>
    <t>CAPID4</t>
  </si>
  <si>
    <t>PlatformName</t>
  </si>
  <si>
    <t>PlatformCode</t>
  </si>
  <si>
    <t>LMO</t>
  </si>
  <si>
    <t>Core - LMO (EMEA)</t>
  </si>
  <si>
    <t>Standard - (Core with additional products)(EMEA)</t>
  </si>
  <si>
    <t>MM</t>
  </si>
  <si>
    <t>QUICKSILVER</t>
  </si>
  <si>
    <t>Quicksilver (EMEA)</t>
  </si>
  <si>
    <t>Quicksilver Plus (EMEA)</t>
  </si>
  <si>
    <t>QS</t>
  </si>
  <si>
    <t>GOLD</t>
  </si>
  <si>
    <t>Gold (EMEA)</t>
  </si>
  <si>
    <t>G</t>
  </si>
  <si>
    <t/>
  </si>
  <si>
    <t>CountryCode</t>
  </si>
  <si>
    <t>Company Id</t>
  </si>
  <si>
    <t>DK #</t>
  </si>
  <si>
    <t>TruncatedPlatformName</t>
  </si>
  <si>
    <t>GuestBooking</t>
  </si>
  <si>
    <t>Do not manually update the values for these fields on the left as they are based on formulas.</t>
  </si>
  <si>
    <t>CompanyName</t>
  </si>
  <si>
    <t>SelectedCountry</t>
  </si>
  <si>
    <t>Germany</t>
  </si>
  <si>
    <t>United Kingdom</t>
  </si>
  <si>
    <t>Sabre</t>
  </si>
  <si>
    <t>CAF Country Name</t>
  </si>
  <si>
    <t>KDS Country Name</t>
  </si>
  <si>
    <t>Service Now Country Name</t>
  </si>
  <si>
    <t>AGM REF/UDID</t>
  </si>
  <si>
    <t xml:space="preserve">PS_MI_REF_FORMAT </t>
  </si>
  <si>
    <t>HOTEL NEGOTIATED RATE</t>
  </si>
  <si>
    <t>Client Identification</t>
  </si>
  <si>
    <t>CRS Office Id</t>
  </si>
  <si>
    <t>Belgium</t>
  </si>
  <si>
    <t>BE</t>
  </si>
  <si>
    <t>Belgium/Luxembourg</t>
  </si>
  <si>
    <t>AGM REF</t>
  </si>
  <si>
    <t>A/*ACECRF////////</t>
  </si>
  <si>
    <t>AmexHotelHub (AH)</t>
  </si>
  <si>
    <t>Blank</t>
  </si>
  <si>
    <t>DKNUMBER|A</t>
  </si>
  <si>
    <t>Czech Republic</t>
  </si>
  <si>
    <t>CZ</t>
  </si>
  <si>
    <t>UDID</t>
  </si>
  <si>
    <t>Out of Scope</t>
  </si>
  <si>
    <t>Amadeus</t>
  </si>
  <si>
    <t>Out Of Scope</t>
  </si>
  <si>
    <t>Denmark</t>
  </si>
  <si>
    <t>A/*ACECRF--------</t>
  </si>
  <si>
    <t>Finland</t>
  </si>
  <si>
    <t>FI</t>
  </si>
  <si>
    <t>Finland -  For EMEA Deployment Team</t>
  </si>
  <si>
    <t>A/*ACECRM/U&lt;num&gt;-[#&lt;Format&gt;&lt;num&gt;#]</t>
  </si>
  <si>
    <t>France</t>
  </si>
  <si>
    <t>FR</t>
  </si>
  <si>
    <t>A/*ACECRM-U&lt;num&gt;:[#&lt;Format&gt;&lt;num&gt;#]</t>
  </si>
  <si>
    <t>DE</t>
  </si>
  <si>
    <t>Greece</t>
  </si>
  <si>
    <t>GR</t>
  </si>
  <si>
    <t>Hungary</t>
  </si>
  <si>
    <t>HU</t>
  </si>
  <si>
    <t>A/*UD&lt;num&gt;[#&lt;Format&gt;&lt;num&gt;#]</t>
  </si>
  <si>
    <t>Italy</t>
  </si>
  <si>
    <t>IT</t>
  </si>
  <si>
    <t>Netherlands</t>
  </si>
  <si>
    <t>NL</t>
  </si>
  <si>
    <t>Norway</t>
  </si>
  <si>
    <t>NO</t>
  </si>
  <si>
    <t>Poland</t>
  </si>
  <si>
    <t>PL</t>
  </si>
  <si>
    <t>Spain</t>
  </si>
  <si>
    <t>ES</t>
  </si>
  <si>
    <t>A/*ACECRF-////////</t>
  </si>
  <si>
    <t>All</t>
  </si>
  <si>
    <t>Booking.com (BK)</t>
  </si>
  <si>
    <t>AmEx KDS Spain</t>
  </si>
  <si>
    <t>Sweden</t>
  </si>
  <si>
    <t>SE</t>
  </si>
  <si>
    <t>Switzerland</t>
  </si>
  <si>
    <t>CH</t>
  </si>
  <si>
    <t>Amex KDS Switzerland</t>
  </si>
  <si>
    <t>UK</t>
  </si>
  <si>
    <t>5.ACECRM/U&lt;num&gt;-[#KE_AD_&lt;Format&gt;&lt;num&gt;#]</t>
  </si>
  <si>
    <t>GB</t>
  </si>
  <si>
    <t>DK# Online</t>
  </si>
  <si>
    <t>DK# Offline</t>
  </si>
  <si>
    <t>SIREN NUMBER* (for French market only)* 9 characters</t>
  </si>
  <si>
    <t>Additional set up documentation? (eg for DE - copy of HR)</t>
  </si>
  <si>
    <t>Contract Expiry Date</t>
  </si>
  <si>
    <t>Point of Sale ValidityWhich markets can this deal been sold from?</t>
  </si>
  <si>
    <t>Fare/Route detail &amp; Ticketing Instructions received</t>
  </si>
  <si>
    <t xml:space="preserve">Contract copies / details </t>
  </si>
  <si>
    <t>NEO L2 Sub Unit Name - DM to fill in * Max 25 characters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</si>
</sst>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/>
    <xf numFmtId="0" fontId="7" fillId="0" borderId="0"/>
  </cellStyleXfs>
  <cellXfs count="66"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7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49" fontId="0" fillId="0" borderId="0" xfId="0" applyNumberFormat="1"/>
    <xf numFmtId="0" fontId="0" fillId="0" borderId="7" xfId="0" applyBorder="1"/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10" xfId="0" applyFont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2" fillId="3" borderId="12" xfId="0" applyFont="1" applyFill="1" applyBorder="1"/>
    <xf numFmtId="0" fontId="6" fillId="0" borderId="9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5" fillId="0" borderId="14" xfId="3" applyFont="1" applyBorder="1" applyAlignment="1">
      <alignment horizontal="center" vertical="center" wrapText="1"/>
    </xf>
    <xf numFmtId="0" fontId="5" fillId="0" borderId="15" xfId="3" applyFont="1" applyBorder="1" applyAlignment="1">
      <alignment horizontal="left" vertical="center" wrapText="1"/>
    </xf>
    <xf numFmtId="0" fontId="5" fillId="0" borderId="15" xfId="3" applyFont="1" applyBorder="1" applyAlignment="1">
      <alignment horizontal="center" vertical="center" wrapText="1"/>
    </xf>
    <xf numFmtId="0" fontId="5" fillId="0" borderId="15" xfId="3" applyFont="1" applyBorder="1" applyAlignment="1">
      <alignment horizontal="left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6" fillId="0" borderId="2" xfId="0" applyFont="1" applyBorder="1" applyAlignment="1">
      <alignment vertical="center" wrapText="1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Fill="1" applyBorder="1" applyAlignment="1">
      <alignment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vertical="center" wrapText="1"/>
    </xf>
    <xf numFmtId="0" fontId="0" fillId="0" borderId="7" xfId="0" applyFill="1" applyBorder="1" applyAlignment="1">
      <alignment horizontal="left" vertical="center"/>
    </xf>
    <xf numFmtId="0" fontId="0" fillId="0" borderId="0" xfId="0" applyNumberForma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1" fillId="0" borderId="7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left"/>
    </xf>
    <xf numFmtId="0" fontId="11" fillId="0" borderId="2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7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left"/>
    </xf>
    <xf numFmtId="0" fontId="11" fillId="0" borderId="18" xfId="0" applyFont="1" applyFill="1" applyBorder="1" applyAlignment="1">
      <alignment horizontal="left" vertical="center"/>
    </xf>
    <xf numFmtId="0" fontId="12" fillId="0" borderId="18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0" fontId="12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2" fillId="0" borderId="2" xfId="0" applyFont="1" applyFill="1" applyBorder="1" applyAlignment="1">
      <alignment horizontal="left"/>
    </xf>
    <xf numFmtId="0" fontId="4" fillId="0" borderId="6" xfId="2" applyBorder="1" applyAlignment="1">
      <alignment horizontal="center"/>
    </xf>
    <xf numFmtId="0" fontId="4" fillId="0" borderId="5" xfId="2" applyBorder="1" applyAlignment="1">
      <alignment horizontal="center"/>
    </xf>
    <xf numFmtId="0" fontId="4" fillId="0" borderId="4" xfId="2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1" applyAlignment="1">
      <alignment horizontal="center" vertical="center" wrapText="1"/>
    </xf>
  </cellXfs>
  <cellStyles count="4">
    <cellStyle name="% 2" xfId="3" xr:uid="{D2E955EA-7D9A-45C0-AE30-E8C0600F581F}"/>
    <cellStyle name="Neutral" xfId="1" builtinId="28"/>
    <cellStyle name="Normal" xfId="0" builtinId="0"/>
    <cellStyle name="Normal 3" xfId="2" xr:uid="{DA5CF196-4375-42FD-AEC0-DD4D227A72B4}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30" formatCode="@"/>
    </dxf>
    <dxf>
      <fill>
        <patternFill patternType="none">
          <fgColor indexed="64"/>
          <bgColor indexed="65"/>
        </patternFill>
      </fill>
    </dxf>
    <dxf>
      <border outline="0">
        <top style="medium">
          <color theme="0" tint="-0.2499465926084170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theme="0" tint="-0.24994659260841701"/>
        </top>
      </border>
    </dxf>
    <dxf>
      <border outline="0"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0" formatCode="General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3294F4-4981-4148-9814-F3617D76237D}" autoFormatId="16" applyNumberFormats="0" applyBorderFormats="0" applyFontFormats="0" applyPatternFormats="0" applyAlignmentFormats="0" applyWidthHeightFormats="0">
  <queryTableRefresh nextId="7">
    <queryTableFields count="3">
      <queryTableField id="5" name="DK#" tableColumnId="5"/>
      <queryTableField id="1" name="DK Name" tableColumnId="1"/>
      <queryTableField id="3" name="Type of Paymen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9F1D701C-7F7E-4D2B-9C93-F89307928DF0}" autoFormatId="16" applyNumberFormats="0" applyBorderFormats="0" applyFontFormats="0" applyPatternFormats="0" applyAlignmentFormats="0" applyWidthHeightFormats="0">
  <queryTableRefresh nextId="4">
    <queryTableFields count="3">
      <queryTableField id="1" name="Default Value" tableColumnId="1"/>
      <queryTableField id="2" name="Online Default Value" tableColumnId="2"/>
      <queryTableField id="3" name="DK 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CD775645-22AF-40CE-8387-4ADC6C411D12}" autoFormatId="16" applyNumberFormats="0" applyBorderFormats="0" applyFontFormats="0" applyPatternFormats="0" applyAlignmentFormats="0" applyWidthHeightFormats="0">
  <queryTableRefresh nextId="6">
    <queryTableFields count="5">
      <queryTableField id="1" name="DK#" tableColumnId="1"/>
      <queryTableField id="2" name="DK Name" tableColumnId="2"/>
      <queryTableField id="3" name="Type of Payment" tableColumnId="3"/>
      <queryTableField id="4" name="CLIENT ID" tableColumnId="4"/>
      <queryTableField id="5" name="GD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3DAA0F0C-82A1-49D1-ABD2-DA5BABA53BE0}" autoFormatId="16" applyNumberFormats="0" applyBorderFormats="0" applyFontFormats="0" applyPatternFormats="0" applyAlignmentFormats="0" applyWidthHeightFormats="0">
  <queryTableRefresh nextId="5">
    <queryTableFields count="4">
      <queryTableField id="1" name="Supplier" tableColumnId="1"/>
      <queryTableField id="2" name="Corporate ID" tableColumnId="2"/>
      <queryTableField id="3" name="CRS" tableColumnId="3"/>
      <queryTableField id="4" name="Default Nam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0" xr16:uid="{D922412F-67D4-4410-8182-6E1D455B5E65}" autoFormatId="16" applyNumberFormats="0" applyBorderFormats="0" applyFontFormats="0" applyPatternFormats="0" applyAlignmentFormats="0" applyWidthHeightFormats="0">
  <queryTableRefresh nextId="5">
    <queryTableFields count="4">
      <queryTableField id="1" name="CRS" tableColumnId="1"/>
      <queryTableField id="2" name="Corporate ID" tableColumnId="2"/>
      <queryTableField id="3" name="Supplier" tableColumnId="3"/>
      <queryTableField id="4" name="Default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3E9E741F-2746-4192-B1B7-D0C18F568222}" autoFormatId="16" applyNumberFormats="0" applyBorderFormats="0" applyFontFormats="0" applyPatternFormats="0" applyAlignmentFormats="0" applyWidthHeightFormats="0">
  <queryTableRefresh nextId="3">
    <queryTableFields count="2">
      <queryTableField id="1" name="Corporate ID" tableColumnId="1"/>
      <queryTableField id="2" name="Supplier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07DE8CDF-49C0-43AB-8DA5-F22FD3F8DDE5}" autoFormatId="16" applyNumberFormats="0" applyBorderFormats="0" applyFontFormats="0" applyPatternFormats="0" applyAlignmentFormats="0" applyWidthHeightFormats="0">
  <queryTableRefresh nextId="5">
    <queryTableFields count="4">
      <queryTableField id="1" name="DK Name" tableColumnId="1"/>
      <queryTableField id="2" name="DK#" tableColumnId="2"/>
      <queryTableField id="3" name="E-invoice Type" tableColumnId="3"/>
      <queryTableField id="4" name="Enter email Address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8BF0D66-5AFA-449B-8C42-6FBCA63B7E7A}" autoFormatId="16" applyNumberFormats="0" applyBorderFormats="0" applyFontFormats="0" applyPatternFormats="0" applyAlignmentFormats="0" applyWidthHeightFormats="0">
  <queryTableRefresh nextId="20">
    <queryTableFields count="9">
      <queryTableField id="11" name="Company Name" tableColumnId="11"/>
      <queryTableField id="12" name="Company Id" tableColumnId="12"/>
      <queryTableField id="13" name="Email from" tableColumnId="13"/>
      <queryTableField id="14" name="Email to" tableColumnId="14"/>
      <queryTableField id="15" name="Address" tableColumnId="15"/>
      <queryTableField id="16" name="City" tableColumnId="16"/>
      <queryTableField id="17" name="Country" tableColumnId="17"/>
      <queryTableField id="18" name="ZIP Code" tableColumnId="18"/>
      <queryTableField id="19" name="DK #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C7DB23C8-1EA3-4D0C-AD64-C827DDBA9109}" autoFormatId="16" applyNumberFormats="0" applyBorderFormats="0" applyFontFormats="0" applyPatternFormats="0" applyAlignmentFormats="0" applyWidthHeightFormats="0">
  <queryTableRefresh nextId="3">
    <queryTableFields count="2">
      <queryTableField id="1" name="DK" tableColumnId="1"/>
      <queryTableField id="2" name="Customer Nam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44AB6371-97D3-4405-9F6A-5BD1F9B2D02D}" autoFormatId="16" applyNumberFormats="0" applyBorderFormats="0" applyFontFormats="0" applyPatternFormats="0" applyAlignmentFormats="0" applyWidthHeightFormats="0">
  <queryTableRefresh nextId="15">
    <queryTableFields count="12">
      <queryTableField id="1" name="Guest Booking" tableColumnId="1"/>
      <queryTableField id="2" name="Company Name" tableColumnId="2"/>
      <queryTableField id="3" name="Company Id" tableColumnId="3"/>
      <queryTableField id="4" name="Email from" tableColumnId="4"/>
      <queryTableField id="5" name="Email to" tableColumnId="5"/>
      <queryTableField id="6" name="Address" tableColumnId="6"/>
      <queryTableField id="7" name="City" tableColumnId="7"/>
      <queryTableField id="8" name="Country" tableColumnId="8"/>
      <queryTableField id="9" name="ZIP Code" tableColumnId="9"/>
      <queryTableField id="10" name="Platform" tableColumnId="10"/>
      <queryTableField id="13" name="DK#" tableColumnId="11"/>
      <queryTableField id="12" name="DK Name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2E6970-2C81-4B91-B919-BB4E0FB9EBC1}" name="KDSEMEACommon" displayName="KDSEMEACommon" ref="A1:H2" totalsRowShown="0" headerRowDxfId="116" dataDxfId="114" headerRowBorderDxfId="115" tableBorderDxfId="113" totalsRowBorderDxfId="112">
  <autoFilter ref="A1:H2" xr:uid="{21732DCD-48AE-4898-B29D-1CF30745F2B5}"/>
  <tableColumns count="8">
    <tableColumn id="1" xr3:uid="{6325C8F6-119C-46C8-A3E0-04171C86C34A}" name="COUNTRY" dataDxfId="111">
      <calculatedColumnFormula array="1">SelectedCountry[]</calculatedColumnFormula>
    </tableColumn>
    <tableColumn id="2" xr3:uid="{BE9905D9-52FA-409C-A4F9-D3357596AF31}" name="PLATFORM" dataDxfId="110">
      <calculatedColumnFormula array="1">truncatedPlatformName[]</calculatedColumnFormula>
    </tableColumn>
    <tableColumn id="3" xr3:uid="{E1CF778E-76C4-40FD-8F92-F4CCA35C954D}" name="NATIONALITY" dataDxfId="109"/>
    <tableColumn id="4" xr3:uid="{1D8F87BB-FD03-439B-B8BA-C868C42092AE}" name="COUNTRY CODE" dataDxfId="108">
      <calculatedColumnFormula array="1">SelectedCountryCode[]</calculatedColumnFormula>
    </tableColumn>
    <tableColumn id="5" xr3:uid="{AAC57C44-B92B-416C-B8FF-490F137F2BF5}" name="SERVICE NOW COUNTRY NAME" dataDxfId="107">
      <calculatedColumnFormula array="1">_xlfn.IFNA(VLOOKUP(SelectedCountryCode[], KdsEmeaReferenceData[[#All],[Country Code]:[Service Now Country Name]], 3, FALSE), "")</calculatedColumnFormula>
    </tableColumn>
    <tableColumn id="6" xr3:uid="{9616675C-0D11-449D-9D40-DFCF9C57B595}" name="GDS" dataDxfId="106">
      <calculatedColumnFormula array="1">selectedGDS[]</calculatedColumnFormula>
    </tableColumn>
    <tableColumn id="7" xr3:uid="{011045AF-5742-4077-84A6-AF4B29A3FDEF}" name="Client Name" dataDxfId="105">
      <calculatedColumnFormula array="1">CompanyName[]</calculatedColumnFormula>
    </tableColumn>
    <tableColumn id="8" xr3:uid="{E3C1A184-F301-4C44-8239-526686527EA7}" name="Region" dataDxfId="104">
      <calculatedColumnFormula>IF(ISBLANK(Region), "", Region)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0C3F5A7-C4FA-4D75-ADCF-965164835D80}" name="AccountSetUp_ProfileSynch_DK" displayName="AccountSetUp_ProfileSynch_DK" ref="A1:C2" tableType="queryTable" insertRow="1" totalsRowShown="0">
  <autoFilter ref="A1:C2" xr:uid="{A01E98D8-4BDB-4BD7-BF53-2716E398DF11}"/>
  <tableColumns count="3">
    <tableColumn id="5" xr3:uid="{01E1ADCC-6D9F-4DD9-B958-231B5ABDC80C}" uniqueName="5" name="DK#" queryTableFieldId="5" dataDxfId="103"/>
    <tableColumn id="1" xr3:uid="{25EF7454-7148-4A16-AEEE-4EA4A0234424}" uniqueName="1" name="DK Name" queryTableFieldId="1"/>
    <tableColumn id="3" xr3:uid="{53B3CEDF-634F-4986-A35D-1A8A1F81E6DE}" uniqueName="3" name="Type of Payment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A2260C7-C5B6-4DA3-9CDB-23AE6C6568E2}" name="AccountSetUp_ProfileSynch_Profiles" displayName="AccountSetUp_ProfileSynch_Profiles" ref="A1:C2" tableType="queryTable" insertRow="1" totalsRowShown="0">
  <autoFilter ref="A1:C2" xr:uid="{24455268-9431-43C4-8CA5-C050C1154F11}"/>
  <tableColumns count="3">
    <tableColumn id="1" xr3:uid="{9C46E03D-8D26-4FBF-B1AD-FA216B7A1F60}" uniqueName="1" name="Default Value" queryTableFieldId="1"/>
    <tableColumn id="2" xr3:uid="{C7EE4910-12C5-40E3-9702-5D37DD5EFB5D}" uniqueName="2" name="Online Default Value" queryTableFieldId="2"/>
    <tableColumn id="3" xr3:uid="{377FF8BB-314F-4595-8659-2ADE7F75D690}" uniqueName="3" name="DK Name" queryTableFieldId="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491EC28-2FCA-4AEE-A54D-66B12B48950B}" name="AccountSetUp_FOP_Setup" displayName="AccountSetUp_FOP_Setup" ref="A1:E2" tableType="queryTable" insertRow="1" totalsRowShown="0">
  <autoFilter ref="A1:E2" xr:uid="{75BD912B-8938-47FE-B1E0-97189B3AB802}"/>
  <tableColumns count="5">
    <tableColumn id="1" xr3:uid="{8F8BF054-6F93-4AEF-A779-2FCD2E5D746F}" uniqueName="1" name="DK#" queryTableFieldId="1" dataDxfId="102"/>
    <tableColumn id="2" xr3:uid="{EE1011AD-2613-4760-8749-0F01025FEB97}" uniqueName="2" name="DK Name" queryTableFieldId="2"/>
    <tableColumn id="3" xr3:uid="{30EB80E6-9B86-4CE7-BFF7-CADDFC28C6DF}" uniqueName="3" name="Type of Payment" queryTableFieldId="3"/>
    <tableColumn id="4" xr3:uid="{10662A09-DABF-4E51-88CC-61791F3576CD}" uniqueName="4" name="CLIENT ID" queryTableFieldId="4"/>
    <tableColumn id="5" xr3:uid="{E204A57F-34AD-48DC-BDC7-75DA6D79519F}" uniqueName="5" name="GDS" queryTableFieldId="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84924E0-9CE9-40DD-89AF-E952D612E0DF}" name="Corporate_Deals_Air" displayName="Corporate_Deals_Air" ref="A1:D2" tableType="queryTable" insertRow="1" totalsRowShown="0">
  <autoFilter ref="A1:D2" xr:uid="{3C345103-7A85-4856-B73A-FAE3A0AC1E14}"/>
  <tableColumns count="4">
    <tableColumn id="1" xr3:uid="{10FB8609-AE5C-439C-8B00-D14AACE0E2D5}" uniqueName="1" name="Supplier" queryTableFieldId="1" dataDxfId="101"/>
    <tableColumn id="2" xr3:uid="{584CB93C-2D17-4027-A6D5-FFF72AB9D85D}" uniqueName="2" name="Corporate ID" queryTableFieldId="2" dataDxfId="100"/>
    <tableColumn id="3" xr3:uid="{00876680-BAE3-4F6B-B25C-560EC15E3BA3}" uniqueName="3" name="CRS" queryTableFieldId="3"/>
    <tableColumn id="4" xr3:uid="{82C68724-9F43-4BE1-95C4-E245A78DD527}" uniqueName="4" name="Default Name" queryTableFieldId="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FE3B227-735A-47FB-ADC6-76C36D9C39C1}" name="CorporateDeals_Car" displayName="CorporateDeals_Car" ref="A1:D2" tableType="queryTable" insertRow="1" totalsRowShown="0">
  <autoFilter ref="A1:D2" xr:uid="{F5111490-759F-40E6-A568-4CA62686DB9C}"/>
  <tableColumns count="4">
    <tableColumn id="1" xr3:uid="{0B14D9B6-F97C-4E20-A226-A90A8DDB317E}" uniqueName="1" name="CRS" queryTableFieldId="1"/>
    <tableColumn id="2" xr3:uid="{A112122F-A7EC-4519-A86B-B2FE3C8CAEC0}" uniqueName="2" name="Corporate ID" queryTableFieldId="2"/>
    <tableColumn id="3" xr3:uid="{CF1B0FEB-8FE3-4F39-8B98-2D229463D9ED}" uniqueName="3" name="Supplier" queryTableFieldId="3" dataDxfId="99"/>
    <tableColumn id="4" xr3:uid="{3017CC83-6BE5-4666-83EC-D41A47404C10}" uniqueName="4" name="Default Name" queryTableField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6F49D54-10B9-4487-862E-B6FF743F78D1}" name="CorporateDeals_Hotel" displayName="CorporateDeals_Hotel" ref="A1:B2" tableType="queryTable" insertRow="1" totalsRowShown="0">
  <autoFilter ref="A1:B2" xr:uid="{BF434CD2-65A4-4DE5-AC26-85F931B26126}"/>
  <tableColumns count="2">
    <tableColumn id="1" xr3:uid="{E36DE227-7535-4ADE-9806-EDDF3A5402BB}" uniqueName="1" name="Corporate ID" queryTableFieldId="1"/>
    <tableColumn id="2" xr3:uid="{56886AAB-D6E9-4004-9997-90B019B84853}" uniqueName="2" name="Supplier" queryTableFieldId="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720624F-3987-4A86-B067-44464C7FB4CF}" name="AccountSetUp_TravelConfiguration_DK" displayName="AccountSetUp_TravelConfiguration_DK" ref="A1:D2" tableType="queryTable" insertRow="1" totalsRowShown="0">
  <autoFilter ref="A1:D2" xr:uid="{E5070B91-3B74-4FD4-A92A-BFD8D5203880}"/>
  <tableColumns count="4">
    <tableColumn id="1" xr3:uid="{44BBEEE8-BE24-4E2D-B2CA-7F6296AF44C8}" uniqueName="1" name="DK Name" queryTableFieldId="1"/>
    <tableColumn id="2" xr3:uid="{8320FAA2-39F0-4377-938E-0EAA28D7A790}" uniqueName="2" name="DK#" queryTableFieldId="2" dataDxfId="98"/>
    <tableColumn id="3" xr3:uid="{D34C8CFA-7949-4FAA-B97E-5FFB8B134BAA}" uniqueName="3" name="E-invoice Type" queryTableFieldId="3"/>
    <tableColumn id="4" xr3:uid="{E84B9DC0-8720-4E3F-BBBD-71B810822F3C}" uniqueName="4" name="Enter email Address" queryTableFieldId="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CA2BC96-C9BB-4B47-8E60-85097AD9A3AF}" name="Table33" displayName="Table33" ref="A1:H2" insertRow="1" totalsRowShown="0" headerRowDxfId="97" dataDxfId="95" headerRowBorderDxfId="96" tableBorderDxfId="94" totalsRowBorderDxfId="93" headerRowCellStyle="Normal 3">
  <autoFilter ref="A1:H2" xr:uid="{A73B56C8-C907-4078-86A2-ADB845C1A7E7}"/>
  <tableColumns count="8">
    <tableColumn id="1" xr3:uid="{0C971D5E-CD0C-49CE-9DF0-8D423FA2903A}" name="Display Name" dataDxfId="92"/>
    <tableColumn id="2" xr3:uid="{DAEEAED6-5DEE-4EDC-9C2E-3ABE1145E6E2}" name="Address" dataDxfId="91"/>
    <tableColumn id="3" xr3:uid="{8B374230-2AAC-4194-9109-18701F0A7006}" name="City" dataDxfId="90"/>
    <tableColumn id="4" xr3:uid="{F401AC0A-33B1-404A-852F-23B30413FD51}" name="Zip Code" dataDxfId="89"/>
    <tableColumn id="5" xr3:uid="{13AA423A-D580-4765-A26A-E47F801800A9}" name="Country" dataDxfId="88"/>
    <tableColumn id="6" xr3:uid="{4C8251E9-0DEC-4CD9-B99F-EAD794180928}" name="State" dataDxfId="87"/>
    <tableColumn id="7" xr3:uid="{C479F2E9-D5C4-4A34-AF87-276B02831F31}" name="Latitude" dataDxfId="86"/>
    <tableColumn id="8" xr3:uid="{D349A8D4-7532-4ACC-AC4C-2B3579C05EDF}" name="Longitude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BDB0F7A-3807-4D2D-BF8F-04D9616217D1}" name="Table15" displayName="Table15" ref="A1:D2" totalsRowShown="0" headerRowDxfId="84" headerRowBorderDxfId="83" tableBorderDxfId="82" totalsRowBorderDxfId="81">
  <autoFilter ref="A1:D2" xr:uid="{8CD33605-BA45-416B-A981-85CE419FA243}"/>
  <tableColumns count="4">
    <tableColumn id="1" xr3:uid="{1E4DBA57-55E2-4776-8804-6AF92B50A8FF}" name="Company Name" dataDxfId="80">
      <calculatedColumnFormula>IF(ISBLANK(Client_Name), "", Client_Name)</calculatedColumnFormula>
    </tableColumn>
    <tableColumn id="2" xr3:uid="{5C6CACB0-22BA-4348-B2A5-8E0FB9C6FC4C}" name="RPCHANGE" dataDxfId="79"/>
    <tableColumn id="3" xr3:uid="{61F4FC81-AEC9-4107-9218-B3BD58328397}" name="ACEBRO" dataDxfId="78"/>
    <tableColumn id="4" xr3:uid="{942462B1-4458-45E9-87C1-47B6B8979F29}" name="Neo Expense" dataDxfId="7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2827F8-5BE6-4F5A-BBBE-B9879FED3EBA}" name="Table17" displayName="Table17" ref="A1:H2" totalsRowShown="0" headerRowDxfId="76" headerRowBorderDxfId="75" tableBorderDxfId="74" totalsRowBorderDxfId="73">
  <autoFilter ref="A1:H2" xr:uid="{330F013D-E115-4F63-9365-435879BA370A}"/>
  <tableColumns count="8">
    <tableColumn id="1" xr3:uid="{9F3B1913-05ED-42D1-BBFE-9784A1B25E00}" name="Company Name" dataDxfId="72">
      <calculatedColumnFormula array="1">IF(ISBLANK(CountryName),"",CONCATENATE(Client_Name,"-",Region,"-",CAPID4))</calculatedColumnFormula>
    </tableColumn>
    <tableColumn id="2" xr3:uid="{351CF637-5D71-4F25-858E-6958D088886F}" name="Company ID" dataDxfId="71">
      <calculatedColumnFormula array="1">IF(ISBLANK(CountryName),"",CONCATENATE(Client_Name,"-",Region,"-",CAPID4))</calculatedColumnFormula>
    </tableColumn>
    <tableColumn id="3" xr3:uid="{0231F8DF-AEC6-4540-998F-7B48071DAF47}" name="Email from" dataDxfId="70"/>
    <tableColumn id="4" xr3:uid="{3A0ABF10-2398-4BB7-954B-1542B322B72A}" name="Email to" dataDxfId="69"/>
    <tableColumn id="5" xr3:uid="{31FB7F3C-1D9A-4C3B-A1B0-8261FF87D9DD}" name="Address" dataDxfId="68"/>
    <tableColumn id="6" xr3:uid="{8FE831AF-9ADF-4C0E-98F8-740C041DBD1A}" name="City" dataDxfId="67"/>
    <tableColumn id="7" xr3:uid="{E4AEA424-4F4B-4A75-A954-AF7AF59475A6}" name="Country" dataDxfId="66">
      <calculatedColumnFormula>IF(ISBLANK(CountryName), "", CountryName)</calculatedColumnFormula>
    </tableColumn>
    <tableColumn id="8" xr3:uid="{AD6C6958-F3F8-48BA-9C89-A014B6ADB7AA}" name="ZIP Code" dataDxfId="6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A380F0-B847-4BF6-B9EB-A69A3DDFA91E}" name="Table9" displayName="Table9" ref="A1:P2" totalsRowShown="0" headerRowDxfId="64" dataDxfId="62" headerRowBorderDxfId="63" tableBorderDxfId="61">
  <autoFilter ref="A1:P2" xr:uid="{3AEB88D2-5322-449B-A7EE-E4EC75AB1246}"/>
  <tableColumns count="16">
    <tableColumn id="1" xr3:uid="{6A071FE1-4547-446E-A6D7-9B518B384088}" name="Company Name" dataDxfId="60">
      <calculatedColumnFormula array="1">IF(ISBLANK(Client_Name),"",CONCATENATE(Client_Name,"-",CountryCode,"-",CAPID4,"-",PlatformCode))</calculatedColumnFormula>
    </tableColumn>
    <tableColumn id="2" xr3:uid="{9C26F0A6-EEB3-435B-90BD-AD9F8C41CDF4}" name="Company ID" dataDxfId="59">
      <calculatedColumnFormula>IF(ISBLANK(Client_Name),"",CONCATENATE("GBT3/",Client_Name,"_",CountryCode))</calculatedColumnFormula>
    </tableColumn>
    <tableColumn id="3" xr3:uid="{1260B020-6F7B-41F1-8BF6-C9893A9486D0}" name="Email from" dataDxfId="58"/>
    <tableColumn id="4" xr3:uid="{7F83FF1A-C8E5-43F7-8364-660989E1522C}" name="Email to" dataDxfId="57"/>
    <tableColumn id="5" xr3:uid="{2617D68E-23D0-4F93-B53E-6E47DC0BB8D3}" name="Address" dataDxfId="56"/>
    <tableColumn id="6" xr3:uid="{3A194441-9749-4354-8B13-B48FA79F6C0F}" name="City" dataDxfId="55"/>
    <tableColumn id="7" xr3:uid="{BC3F41B8-8148-4026-9C69-273F5DA13140}" name="Country" dataDxfId="54">
      <calculatedColumnFormula>IF(ISBLANK(CountryName), "", CountryName)</calculatedColumnFormula>
    </tableColumn>
    <tableColumn id="8" xr3:uid="{5E28A65B-75C8-4C7E-8F65-221BD3B274B8}" name="ZIP Code" dataDxfId="53"/>
    <tableColumn id="9" xr3:uid="{67E427FE-6B95-4BA9-9C1B-72EBC9D824AC}" name="Phone" dataDxfId="52"/>
    <tableColumn id="10" xr3:uid="{A302834A-2B87-44F4-B9F4-E5E5BB6C95F2}" name="Email" dataDxfId="51"/>
    <tableColumn id="11" xr3:uid="{124CC0FA-4178-451E-A9AB-83E89E45326E}" name="Booking on Hold" dataDxfId="50"/>
    <tableColumn id="12" xr3:uid="{57A3322E-B813-44E8-B3F2-DC620B2739E2}" name="Guest Booking" dataDxfId="49">
      <calculatedColumnFormula array="1">IsGuestBooking[]</calculatedColumnFormula>
    </tableColumn>
    <tableColumn id="13" xr3:uid="{9BF9E877-FDBD-489C-BA46-3F9F4F037A91}" name="Expiration" dataDxfId="48"/>
    <tableColumn id="14" xr3:uid="{52611FFB-1197-4410-9CE4-81CA27AFD82B}" name="Explant Offline Branch Number" dataDxfId="47"/>
    <tableColumn id="15" xr3:uid="{5C866653-CBC1-43EB-B3E0-7224E7CD7155}" name="Platform" dataDxfId="46">
      <calculatedColumnFormula array="1">truncatedPlatformName[]</calculatedColumnFormula>
    </tableColumn>
    <tableColumn id="16" xr3:uid="{DC42898B-FC75-48FD-A4BF-03EA24065EC9}" name="Before PurchaseHold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AE9B41-6728-414E-8B32-0386FB46C085}" name="AccountSetUp_ClientSetupL2" displayName="AccountSetUp_ClientSetupL2" ref="A1:I2" tableType="queryTable" insertRow="1" totalsRowShown="0">
  <autoFilter ref="A1:I2" xr:uid="{2FDB4B97-156E-4405-9523-731B64E55D12}"/>
  <tableColumns count="9">
    <tableColumn id="11" xr3:uid="{46754377-9F5B-4445-A7BC-B3D0C0FA2108}" uniqueName="11" name="Company Name" queryTableFieldId="11"/>
    <tableColumn id="12" xr3:uid="{B37D180C-3521-46A4-9F91-BCE5EC229116}" uniqueName="12" name="Company Id" queryTableFieldId="12"/>
    <tableColumn id="13" xr3:uid="{0B85247B-BCBF-4CE8-82BF-95C79C35D793}" uniqueName="13" name="Email from" queryTableFieldId="13"/>
    <tableColumn id="14" xr3:uid="{A89E5E74-34BF-4BB7-8A50-D99716378860}" uniqueName="14" name="Email to" queryTableFieldId="14"/>
    <tableColumn id="15" xr3:uid="{59615801-A634-4E99-B086-1841150FE73E}" uniqueName="15" name="Address" queryTableFieldId="15"/>
    <tableColumn id="16" xr3:uid="{4AE482D2-D81C-4529-A40D-85DF43D01DA2}" uniqueName="16" name="City" queryTableFieldId="16"/>
    <tableColumn id="17" xr3:uid="{E15210CF-EAFF-43EA-ACF7-A96080A11B5F}" uniqueName="17" name="Country" queryTableFieldId="17"/>
    <tableColumn id="18" xr3:uid="{7E3273A0-15C0-49E0-B684-A41B219C9A70}" uniqueName="18" name="ZIP Code" queryTableFieldId="18"/>
    <tableColumn id="19" xr3:uid="{3A6EEAA3-E04C-467A-874A-45B532420F00}" uniqueName="19" name="DK #" queryTableFieldId="19" dataDxfId="44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69A64F-1743-40D5-A771-4398AB9B8C55}" name="Table11" displayName="Table11" ref="A1:E2" totalsRowShown="0" headerRowDxfId="42" headerRowBorderDxfId="41" tableBorderDxfId="40" totalsRowBorderDxfId="39">
  <autoFilter ref="A1:E2" xr:uid="{BC9E508F-055F-4EAD-BA8C-AF4390B45567}"/>
  <tableColumns count="5">
    <tableColumn id="1" xr3:uid="{39E97A6A-F84B-4A3C-89F5-8309F0F3DCE2}" name="Transportation" dataDxfId="38"/>
    <tableColumn id="2" xr3:uid="{7AF4FD4A-7047-4CF2-80F8-AB9CCFCD48A4}" name="Rail" dataDxfId="37"/>
    <tableColumn id="3" xr3:uid="{F7E714D2-A1F5-4160-8597-1EB2B156F4A6}" name="Hotel" dataDxfId="36"/>
    <tableColumn id="4" xr3:uid="{2698397C-B596-41FC-8649-4CF2F68CDD73}" name="Hotel Maps" dataDxfId="35"/>
    <tableColumn id="5" xr3:uid="{3E4CDB9F-609A-4B42-B42F-ED2502C1A212}" name="Car" dataDxfId="3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79F145-B3C9-4B09-82A7-A478FB6EB862}" name="Table25" displayName="Table25" ref="A1:F2" totalsRowShown="0" headerRowDxfId="33" dataDxfId="31" headerRowBorderDxfId="32" tableBorderDxfId="30" totalsRowBorderDxfId="29">
  <autoFilter ref="A1:F2" xr:uid="{DCBE4003-9206-4D0C-9BAF-B03B14ED19C7}"/>
  <tableColumns count="6">
    <tableColumn id="1" xr3:uid="{41F8F1D6-64A6-486C-B451-38917E397110}" name="GDS" dataDxfId="28">
      <calculatedColumnFormula array="1">IF(ISBLANK(KdsEmeaGDS), "", KdsEmeaGDS)</calculatedColumnFormula>
    </tableColumn>
    <tableColumn id="2" xr3:uid="{60E5210C-293F-4E05-8BD0-E6CD6D9A48BC}" name="Platform" dataDxfId="27">
      <calculatedColumnFormula array="1">truncatedPlatformName[]</calculatedColumnFormula>
    </tableColumn>
    <tableColumn id="3" xr3:uid="{4E752763-83D9-4DD9-A398-C4205A9040BF}" name="Client Name" dataDxfId="26">
      <calculatedColumnFormula array="1">IF(ISBLANK(KdsEmeaClientName), "", KdsEmeaClientName)</calculatedColumnFormula>
    </tableColumn>
    <tableColumn id="4" xr3:uid="{727CF8DA-2CC9-468F-B579-A99091EAB500}" name="MTP trigger" dataDxfId="25">
      <calculatedColumnFormula>IF(OR(TRIM(UPPER(isMtpSelected))="NO", TRIM(UPPER(isMtpSelected))=""),"",IF(ISBLANK(selectedMTP),"^MISSING",selectedMTP))</calculatedColumnFormula>
    </tableColumn>
    <tableColumn id="5" xr3:uid="{F705019D-741E-4914-B8A9-5E3C577A4449}" name="DM Name" dataDxfId="24"/>
    <tableColumn id="6" xr3:uid="{7755A821-EF93-4620-AFF4-7F82126A4702}" name="DM Email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6607E29-6E1E-4DDD-A38C-A0D31C1C125C}" name="AccountSetUp_ServiceNow_DK" displayName="AccountSetUp_ServiceNow_DK" ref="A1:B2" tableType="queryTable" insertRow="1" totalsRowShown="0">
  <autoFilter ref="A1:B2" xr:uid="{0A5895CA-1E3A-4890-A9F9-7AB9E588D40B}"/>
  <tableColumns count="2">
    <tableColumn id="1" xr3:uid="{5ECA5FA5-EAF6-4BA9-921B-C77BEA2A0424}" uniqueName="1" name="DK" queryTableFieldId="1" dataDxfId="22"/>
    <tableColumn id="2" xr3:uid="{C263D557-D5F8-4DEF-A712-4938975D6546}" uniqueName="2" name="Customer Name" queryTableFieldId="2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26D6027-1980-4D84-A15F-2EB76C675424}" name="AccountSetUp_ClientSetupGuest" displayName="AccountSetUp_ClientSetupGuest" ref="A1:L2" tableType="queryTable" insertRow="1" totalsRowShown="0">
  <autoFilter ref="A1:L2" xr:uid="{7D26BD95-18FE-44F1-93EB-29C49EBC5B0A}"/>
  <tableColumns count="12">
    <tableColumn id="1" xr3:uid="{FF241B48-E388-43CC-95EA-2ABF315F3418}" uniqueName="1" name="Guest Booking" queryTableFieldId="1"/>
    <tableColumn id="2" xr3:uid="{A416E75F-EA3E-4103-A95E-398F09381C4D}" uniqueName="2" name="Company Name" queryTableFieldId="2"/>
    <tableColumn id="3" xr3:uid="{ECF45922-3B69-4E59-8841-EBBA532A1774}" uniqueName="3" name="Company Id" queryTableFieldId="3"/>
    <tableColumn id="4" xr3:uid="{08A65B90-C946-44AA-8A5A-112B19E57EC7}" uniqueName="4" name="Email from" queryTableFieldId="4"/>
    <tableColumn id="5" xr3:uid="{F8F41867-EC2B-4C90-8E6B-E5D63ADDB337}" uniqueName="5" name="Email to" queryTableFieldId="5"/>
    <tableColumn id="6" xr3:uid="{C7040EB2-4409-48C9-B1DD-E9C572940B7C}" uniqueName="6" name="Address" queryTableFieldId="6"/>
    <tableColumn id="7" xr3:uid="{74E1704F-9FB7-4427-B030-09316E8F2591}" uniqueName="7" name="City" queryTableFieldId="7"/>
    <tableColumn id="8" xr3:uid="{30F8C988-4CCA-43E6-BA47-E7337544810C}" uniqueName="8" name="Country" queryTableFieldId="8"/>
    <tableColumn id="9" xr3:uid="{D2762E26-DE0E-4AE1-BE6A-3B7C33FE256C}" uniqueName="9" name="ZIP Code" queryTableFieldId="9"/>
    <tableColumn id="10" xr3:uid="{D26D1BF0-5E47-4337-A116-A3ED493FE345}" uniqueName="10" name="Platform" queryTableFieldId="10"/>
    <tableColumn id="11" xr3:uid="{2C6709DA-C78D-4317-A33F-4B18E33A3D1F}" uniqueName="11" name="DK#" queryTableFieldId="13" dataDxfId="43"/>
    <tableColumn id="12" xr3:uid="{A0BA40C7-A575-4B0F-9935-DCF8C9017F85}" uniqueName="12" name="DK Name" queryTableFieldId="12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BFD810-7C38-4969-BCF8-F38A78A766F9}" name="AccountSetUp" displayName="AccountSetUp" ref="A1:AP1000" totalsRowShown="0" headerRowDxfId="21" headerRowBorderDxfId="20" tableBorderDxfId="19">
  <autoFilter ref="A1:AP1000" xr:uid="{A78559F5-A4F2-4CA4-ACE7-2BFE2843CD76}"/>
  <tableColumns count="42">
    <tableColumn id="1" xr3:uid="{3CE2F1D0-9980-4607-A93F-CDADCF9C85D7}" name="Phase"/>
    <tableColumn id="2" xr3:uid="{CEFB5DF6-0491-4309-B53F-E6A70F4D1ECB}" name="Country"/>
    <tableColumn id="3" xr3:uid="{C9BA7D1E-5072-4AD7-A724-95BA33DC3F03}" name="Region"/>
    <tableColumn id="4" xr3:uid="{5FB1B71A-BEA6-4A37-BAB2-97930B2B997B}" name="Legal entity name"/>
    <tableColumn id="5" xr3:uid="{7D6BA99B-73BE-43D8-8B8C-1D037ADE9596}" name="Address"/>
    <tableColumn id="6" xr3:uid="{FC82E749-436F-405B-99F1-6F7B420D7F3D}" name="City"/>
    <tableColumn id="7" xr3:uid="{85166FA7-68C2-4B11-AB2D-A0C72C82C1FB}" name="State"/>
    <tableColumn id="8" xr3:uid="{84EC6E86-8938-4504-8B4B-D954F9F32E10}" name="Postal Code"/>
    <tableColumn id="9" xr3:uid="{AD8AAD16-2ABE-4A09-A34E-CC63492C9D7F}" name="Tax Registration number"/>
    <tableColumn id="10" xr3:uid="{D5E2964F-39EA-497E-8F7D-62BEE9ABB861}" name="Additional set up documentation? (eg for DE - copy of HR)"/>
    <tableColumn id="11" xr3:uid="{035A180C-10A2-478E-9FAE-018E62DB872D}" name="Card Provider"/>
    <tableColumn id="12" xr3:uid="{4D2973A0-6DED-46C4-9741-B48EA32631C7}" name="Current AIR FoP"/>
    <tableColumn id="13" xr3:uid="{CEC119BF-F5FB-4F21-86F9-1E495AB25847}" name="Air (GDS) FoP"/>
    <tableColumn id="14" xr3:uid="{7DB7C82F-6358-40B1-8F20-2E025EC24192}" name="Air (webfares) FoP"/>
    <tableColumn id="15" xr3:uid="{EDE2A61D-6E3E-43FA-AFDB-6DB14C2D3377}" name="Rail - FoP"/>
    <tableColumn id="16" xr3:uid="{593BA25B-7A16-44CE-9251-329CD3C1EDAC}" name="Hotel - FoP"/>
    <tableColumn id="17" xr3:uid="{588DA926-BE0E-42FF-A925-118887FA5217}" name="Car - FoP"/>
    <tableColumn id="18" xr3:uid="{075570A9-F9E7-49D7-AB75-90038F2D9DF5}" name="Note / update / status"/>
    <tableColumn id="19" xr3:uid="{471580B2-B28F-4D53-8025-00AB5701CFFF}" name="Profile Synch OID"/>
    <tableColumn id="20" xr3:uid="{C5827D29-D82E-42D6-A799-8D568364FB0A}" name="Offline RECLOC/STAR/SABRE PROFILE/BAR (for the profile synch)"/>
    <tableColumn id="21" xr3:uid="{3DF86E29-A3AB-4888-99DA-94055D2ED0CB}" name="Online RECLOC/STAR/SABRE PROFILE/BAR"/>
    <tableColumn id="22" xr3:uid="{63959089-6B1F-429F-A985-3DAEA1221514}" name="Offline Company Profile Name (Amadeus only)"/>
    <tableColumn id="23" xr3:uid="{A231D287-B8EE-469A-A69D-FF5AE3656193}" name="Online Company Profile Name (Amadeus only)"/>
    <tableColumn id="24" xr3:uid="{F261D0E0-8194-49C0-B614-9439677FD68E}" name="DK Name"/>
    <tableColumn id="25" xr3:uid="{057A3DEE-94AD-4D87-A7F6-3E28BF0AF421}" name="DK# Online"/>
    <tableColumn id="26" xr3:uid="{3756D954-993C-429C-B86B-7EAF3B183DC6}" name="DK# Offline"/>
    <tableColumn id="27" xr3:uid="{F6CA5EBD-09C2-458B-BA83-F064360E8F1D}" name="Client ID"/>
    <tableColumn id="28" xr3:uid="{672BD3C7-2D27-42E6-AD32-109EA566F140}" name="Invoice / E-invoice set up"/>
    <tableColumn id="29" xr3:uid="{FB8E37D1-AFC9-4728-8F1B-055A25EB1D80}" name="NEO L2 Sub Unit Name - DM to fill in * Max 25 characters"/>
    <tableColumn id="30" xr3:uid="{2F679028-D580-4F73-8FB6-1701FD8CF851}" name="SIREN NUMBER* (for French market only)* 9 characters"/>
    <tableColumn id="31" xr3:uid="{64CC7FE5-B871-413E-B514-7030FA96A431}" name="E-invoice Central mailbox Email Address"/>
    <tableColumn id="32" xr3:uid="{B2F2E7CF-CD8F-4B3C-9D0D-4614D5996672}" name="Customer Main Phone Contact"/>
    <tableColumn id="33" xr3:uid="{9A2AC2E4-3764-4F69-AAFE-51B4841470B7}" name="Email Domains (separate multiple with a comma)"/>
    <tableColumn id="34" xr3:uid="{55BCF8F9-FEC5-412E-BA78-8FC7290EE056}" name="Website"/>
    <tableColumn id="35" xr3:uid="{CA039740-F8C7-4E28-BF3B-F9178DE9A757}" name="Top User name "/>
    <tableColumn id="36" xr3:uid="{44681A27-AC67-477F-B01D-3B8B4DBF091C}" name="Top User E-mail"/>
    <tableColumn id="37" xr3:uid="{4865F3DD-269C-44C4-B7D8-C5B2D4DEDC33}" name="Assistant Access ,Note (post-it), Invoice validation, Bulk print"/>
    <tableColumn id="38" xr3:uid="{890C7467-CE69-487E-BDFC-84DF1FDD6EA7}" name="Air Fare Savings"/>
    <tableColumn id="39" xr3:uid="{95509C1B-2A85-4358-8C0A-65A9A5994619}" name="English language e-invoices"/>
    <tableColumn id="40" xr3:uid="{35EAB028-3E32-48C6-8C9C-A2D9E5D8A21C}" name="Legal entity e-invoicing"/>
    <tableColumn id="41" xr3:uid="{1F4302D4-C982-4973-8810-DD9A5E085E5F}" name="Demat Live date "/>
    <tableColumn id="42" xr3:uid="{8410F235-BC58-405B-9E29-8B695CDECABA}" name="Group Nam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C75118-200D-4CE7-A692-74726ED68AA3}" name="AirSuppliers" displayName="AirSuppliers" ref="A1:N1000" totalsRowShown="0" headerRowDxfId="18">
  <autoFilter ref="A1:N1000" xr:uid="{B6F2D8A5-F7B8-472B-B679-297701CD7D84}"/>
  <tableColumns count="14">
    <tableColumn id="1" xr3:uid="{AFCD1DBE-CABC-4EEC-8D24-43452FE6DADC}" name="Supplier name"/>
    <tableColumn id="2" xr3:uid="{9BA6B429-E990-4B0E-9F9C-FAF3338DC698}" name="Airlines included in the contract"/>
    <tableColumn id="3" xr3:uid="{218F1BB8-F502-4B89-AF26-56A085966801}" name="OSI"/>
    <tableColumn id="4" xr3:uid="{E605814F-CCAD-4682-8CB6-5E2201AF2CF7}" name="TKT DESIGNATOR"/>
    <tableColumn id="5" xr3:uid="{B8185960-8492-459D-A25F-B3C929036A9C}" name="TOUR CODE"/>
    <tableColumn id="6" xr3:uid="{1F22DFB7-B959-4329-8A65-9B87DA3636A6}" name="Contact"/>
    <tableColumn id="7" xr3:uid="{B39B1252-8C73-433D-9EB1-1BDAF346ECA7}" name="Contract Expiry Date"/>
    <tableColumn id="8" xr3:uid="{63C336F0-934E-44B2-8F74-CF75C7FAD200}" name="GDS Fare Loading codes"/>
    <tableColumn id="9" xr3:uid="{5F50DE00-CC4D-409D-B02E-9FBC01A8F075}" name="Air Corporate Loyalty Program Name"/>
    <tableColumn id="10" xr3:uid="{68DA7A1A-4066-4350-91E5-597A52B92ADA}" name="Perks ID"/>
    <tableColumn id="11" xr3:uid="{934D898D-7E8D-4550-B542-6C121F2182EC}" name="Point of Sale ValidityWhich markets can this deal been sold from?"/>
    <tableColumn id="12" xr3:uid="{0015D5C0-9479-44F6-ADFD-18CBA031B998}" name="Fare/Route detail &amp; Ticketing Instructions received"/>
    <tableColumn id="13" xr3:uid="{56A72E4A-C428-4257-B300-C62B4264A686}" name="Status"/>
    <tableColumn id="14" xr3:uid="{0865C632-6C8A-4754-A197-542846F2A506}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A934FD-25FE-4ACA-931D-E2A07E48D37B}" name="Table28" displayName="Table28" ref="A1:K1000" totalsRowShown="0" headerRowDxfId="15" tableBorderDxfId="14" headerRowCellStyle="% 2">
  <autoFilter ref="A1:K1000" xr:uid="{6DB5226A-9F04-4C84-8552-527CDF8C6049}"/>
  <tableColumns count="11">
    <tableColumn id="1" xr3:uid="{EA476DA1-A64B-4EC0-A210-5B4A7831E0F5}" name="Supplier Type"/>
    <tableColumn id="2" xr3:uid="{AD970D72-1B4A-4C1E-9ABE-3C5A9AC2C1E6}" name="Supplier name"/>
    <tableColumn id="3" xr3:uid="{011593F5-4525-4456-85A5-E4993F8B5923}" name="Global or Local"/>
    <tableColumn id="4" xr3:uid="{D4F2971D-E7AD-4DD5-807E-B15D36BD1276}" name="Contact Details"/>
    <tableColumn id="5" xr3:uid="{8D812365-CE2F-4DEE-93EF-90626437AC75}" name="Discount Code Type"/>
    <tableColumn id="6" xr3:uid="{F5528743-2C77-420A-B5EE-3B8031D8F0B2}" name="Discount code"/>
    <tableColumn id="7" xr3:uid="{1CEFF71E-323C-448D-B0CE-EA3E059D0386}" name="Rate Information"/>
    <tableColumn id="8" xr3:uid="{08643A52-20C7-44A0-A247-B76CC7E80B63}" name="Contract Expiry Date"/>
    <tableColumn id="9" xr3:uid="{08091C36-29DB-44BB-A3FE-E67A262C724A}" name="Contract copies / details "/>
    <tableColumn id="10" xr3:uid="{204642C0-2EB0-455F-A2D0-11640F98EFBD}" name="Point of Sale Validity - Which Countries can this deal be sold from?"/>
    <tableColumn id="11" xr3:uid="{273A2497-CB2A-4784-A49A-9AA455379691}" name="Status 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089AC0-6167-468B-A6B1-08EBDCBB621D}" name="CardData" displayName="CardData" ref="F1:G2" totalsRowShown="0">
  <autoFilter ref="F1:G2" xr:uid="{00000000-0009-0000-0100-000001000000}"/>
  <tableColumns count="2">
    <tableColumn id="1" xr3:uid="{A7C56ED8-B153-4014-93AE-6079F5FE2BEA}" name="CardType" dataDxfId="13">
      <calculatedColumnFormula>IF(AND(ISBLANK(OneForm_RawData!C4),ISBLANK(OneForm_RawData!C4)), "", IF(AND(OneForm_RawData!C4="Individual Cards", OneForm_RawData!C5="Individual Cards"), "Individual Cards", "Central Card(s) Only"))</calculatedColumnFormula>
    </tableColumn>
    <tableColumn id="2" xr3:uid="{4A318588-4B82-4C04-BE7C-919EBB127A96}" name="CardUsage">
      <calculatedColumnFormula>IF(AND(ISBLANK(OneForm_RawData!C4),ISBLANK(OneForm_RawData!C4)), "",IF(AND(OneForm_RawData!C4="Individual Cards", OneForm_RawData!C5="Individual Cards"), "", IF(AND(OneForm_RawData!C4="Individual Cards", OneForm_RawData!C5="Lodge Card/BTA/Central Card"), "Hotel Only", IF(AND(OneForm_RawData!C4="Lodge Card/BTA/Central Card", OneForm_RawData!C5="Individual Cards"), "Air only", "Air and Hotel"))))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FF5A4C-2F41-4D9C-AAC1-3ED72FCFCB71}" name="OneFormRawDataLookup" displayName="OneFormRawDataLookup" ref="A1:C21" totalsRowShown="0">
  <autoFilter ref="A1:C21" xr:uid="{00000000-0009-0000-0100-000002000000}"/>
  <tableColumns count="3">
    <tableColumn id="1" xr3:uid="{662C7C6B-F064-430E-9979-F894F6F64A68}" name="Worksheet"/>
    <tableColumn id="2" xr3:uid="{70D9081E-7989-4B3E-B182-7E54E5792F47}" name="Column Name"/>
    <tableColumn id="3" xr3:uid="{7D8B06F3-35FD-48E9-8505-D38F55122373}" name="Value" dataDxfId="1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0AAE88-58E7-4956-8F37-F2A4C596C4D4}" name="IATACountryCodes" displayName="IATACountryCodes" ref="I1:J21" totalsRowShown="0">
  <autoFilter ref="I1:J21" xr:uid="{00000000-0009-0000-0100-000017000000}"/>
  <tableColumns count="2">
    <tableColumn id="1" xr3:uid="{B4E9F193-0905-4FC9-892D-EDAC7F1D1F10}" name="Country Name"/>
    <tableColumn id="2" xr3:uid="{9DAA6A60-CCFE-4736-8390-60BC3D911BCA}" name="Country 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4C2677-D742-4226-B2E6-733FA562F45E}" name="Table16" displayName="Table16" ref="O1:O2" totalsRowShown="0">
  <autoFilter ref="O1:O2" xr:uid="{B25BBE9E-33D4-4CD4-A81A-D847F52C6739}"/>
  <tableColumns count="1">
    <tableColumn id="1" xr3:uid="{BEB466AD-78F4-48BC-A296-71878FA9A253}" name="CAPID4">
      <calculatedColumnFormula>IF(ISBLANK(Full_CAPID),"",LEFT(Full_CAPID, 4))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E62D711-16C7-4B8D-9F35-6FCC845DEBB2}" name="PlatformNameToCodeLookup" displayName="PlatformNameToCodeLookup" ref="R1:S9" totalsRowShown="0">
  <autoFilter ref="R1:S9" xr:uid="{EE711B56-2390-4C96-8D73-C3260483BF4B}"/>
  <tableColumns count="2">
    <tableColumn id="1" xr3:uid="{04FF77CC-19CA-4D8E-89C3-C3F375171E0B}" name="PlatformName"/>
    <tableColumn id="2" xr3:uid="{C04DF1E1-75FD-4E98-86C4-E0DC055C829D}" name="Platform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DE2853D-67AE-487D-9DC2-91FBD6A4D2B3}" name="Table19" displayName="Table19" ref="O4:O5" totalsRowShown="0">
  <autoFilter ref="O4:O5" xr:uid="{5089A16F-682E-4D4E-8D5C-DE46E27C6B02}"/>
  <tableColumns count="1">
    <tableColumn id="1" xr3:uid="{0E8D9FBA-82B9-404F-822E-17951E60DAA2}" name="PlatformCode">
      <calculatedColumnFormula>IFERROR(VLOOKUP(PlatformName, PlatformNameToCodeLookup[], 2, FALSE), "")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223142-135A-4AE4-94ED-A328BB108979}" name="SelectedCountryCode" displayName="SelectedCountryCode" ref="O7:O8" totalsRowShown="0">
  <autoFilter ref="O7:O8" xr:uid="{E656A8EA-DCA0-403D-96D5-3CC8EEDC5652}"/>
  <tableColumns count="1">
    <tableColumn id="1" xr3:uid="{32FC9D0D-0023-4F65-9664-6087A50920EC}" name="CountryCode">
      <calculatedColumnFormula>IF(ISBLANK(CountryCode),"",CountryCode)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73C096-6C2C-47E2-A8E9-0219570FFA14}" name="selectedGDS" displayName="selectedGDS" ref="O10:O11" totalsRowShown="0">
  <autoFilter ref="O10:O11" xr:uid="{1E3B4410-484B-4841-84A5-28FB4DAA83D0}"/>
  <tableColumns count="1">
    <tableColumn id="1" xr3:uid="{737DFD7F-C7A0-4C9F-BE58-B2EEB0F93E33}" name="GDS">
      <calculatedColumnFormula>IF(ISBLANK(C20), "", C20)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89D8CBC-CB4A-4DBF-AFF6-6DEACEF8A2AF}" name="truncatedPlatformName" displayName="truncatedPlatformName" ref="O13:O14" totalsRowShown="0">
  <autoFilter ref="O13:O14" xr:uid="{56FF5107-B865-4FF9-B692-24C6E5E0E6DC}"/>
  <tableColumns count="1">
    <tableColumn id="1" xr3:uid="{76037572-27FE-4627-A254-8A05F13B9E4E}" name="TruncatedPlatformName">
      <calculatedColumnFormula>IF(ISBLANK(PlatformName), "", TRIM(SUBSTITUTE(PlatformName, "(EMEA)", "")))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DEE40A2-5C8C-4ADE-9022-8C14BF7942F9}" name="IsGuestBooking" displayName="IsGuestBooking" ref="O16:O17" totalsRowShown="0">
  <autoFilter ref="O16:O17" xr:uid="{70E7077B-AAB1-4C3B-A18B-FD74B0C1D550}"/>
  <tableColumns count="1">
    <tableColumn id="1" xr3:uid="{CF28495A-033F-456F-952D-35BC5A0A9956}" name="GuestBooking">
      <calculatedColumnFormula>IF(ISBLANK(C21), "", C21)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48689C9-8ABF-4AB6-957B-43B034F2CB92}" name="CompanyName" displayName="CompanyName" ref="O19:O20" totalsRowShown="0">
  <autoFilter ref="O19:O20" xr:uid="{CEAB3593-C920-41B3-A719-8AFCE358BADA}"/>
  <tableColumns count="1">
    <tableColumn id="1" xr3:uid="{1A8716DE-9B22-4186-A816-82F1EFD107BE}" name="CompanyName">
      <calculatedColumnFormula>IF(ISBLANK(Client_Name), "", Client_Name)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EDA0B6-D5E5-45F0-8F47-8FEB84C53B09}" name="SelectedCountry" displayName="SelectedCountry" ref="O22:O23" totalsRowShown="0">
  <autoFilter ref="O22:O23" xr:uid="{9D4618BD-05D1-40B5-887B-BE5C0A5FA557}"/>
  <tableColumns count="1">
    <tableColumn id="1" xr3:uid="{271ADB0C-38AB-44F1-B789-24C2F81A631D}" name="SelectedCountry">
      <calculatedColumnFormula>IF(ISBLANK(Country),"",Country)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9517334-521C-4E65-B3EE-C76A92F0B899}" name="KdsEmeaReferenceData" displayName="KdsEmeaReferenceData" ref="A1:J18" totalsRowShown="0" dataDxfId="11" tableBorderDxfId="10">
  <autoFilter ref="A1:J18" xr:uid="{3D19A28D-2B11-4245-8E18-F3EF40779779}"/>
  <tableColumns count="10">
    <tableColumn id="1" xr3:uid="{56DF7909-3308-49F1-9E22-476843529C1E}" name="CAF Country Name" dataDxfId="9"/>
    <tableColumn id="2" xr3:uid="{CCE3596D-87B0-4750-8158-8EADA063E1F6}" name="Country Code" dataDxfId="8"/>
    <tableColumn id="3" xr3:uid="{AD9F9D56-3409-4B5C-B11A-FB2BB9B5F436}" name="KDS Country Name" dataDxfId="7"/>
    <tableColumn id="4" xr3:uid="{F50C4797-C49E-43F1-898D-100B8AD89240}" name="Service Now Country Name" dataDxfId="6"/>
    <tableColumn id="5" xr3:uid="{C97E4CB3-9A1E-4A45-AFE8-32F8A21C4896}" name="AGM REF/UDID" dataDxfId="5"/>
    <tableColumn id="6" xr3:uid="{E79059BC-A6CA-46D7-9F0C-7272E72AAF4E}" name="PS_MI_REF_FORMAT " dataDxfId="4"/>
    <tableColumn id="7" xr3:uid="{069128B3-3893-47C4-81DB-8338D75B01AD}" name="HOTEL NEGOTIATED RATE" dataDxfId="3"/>
    <tableColumn id="8" xr3:uid="{58E7F699-26AE-4364-8859-009A5D42C59C}" name="CRS" dataDxfId="2"/>
    <tableColumn id="9" xr3:uid="{C64FE1E3-F3E3-497C-85EF-49BAA5A65134}" name="Client Identification" dataDxfId="1"/>
    <tableColumn id="10" xr3:uid="{64E26388-09DA-46D6-8457-CB9CD2944FE1}" name="CRS Office I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13" Type="http://schemas.openxmlformats.org/officeDocument/2006/relationships/table" Target="../tables/table31.xml"/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5" Type="http://schemas.openxmlformats.org/officeDocument/2006/relationships/comments" Target="../comments2.xml"/><Relationship Id="rId10" Type="http://schemas.openxmlformats.org/officeDocument/2006/relationships/table" Target="../tables/table28.xml"/><Relationship Id="rId4" Type="http://schemas.openxmlformats.org/officeDocument/2006/relationships/table" Target="../tables/table22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20A5-9FAB-43F6-AC4E-73C1A073F213}">
  <sheetPr codeName="Sheet1">
    <tabColor theme="9" tint="0.79998168889431442"/>
  </sheetPr>
  <dimension ref="A1:H14"/>
  <sheetViews>
    <sheetView zoomScale="98" zoomScaleNormal="98" workbookViewId="0">
      <selection activeCell="A2" sqref="A2"/>
    </sheetView>
  </sheetViews>
  <sheetFormatPr defaultRowHeight="14.5" x14ac:dyDescent="0.35"/>
  <cols>
    <col min="1" max="1" width="19.36328125" customWidth="1"/>
    <col min="2" max="2" width="19.7265625" customWidth="1"/>
    <col min="3" max="3" width="17.1796875" customWidth="1"/>
    <col min="4" max="4" width="16.08984375" customWidth="1"/>
    <col min="5" max="5" width="28.7265625" customWidth="1"/>
    <col min="6" max="6" width="14.54296875" bestFit="1" customWidth="1"/>
    <col min="7" max="7" width="13" customWidth="1"/>
    <col min="8" max="8" width="15.1796875" bestFit="1" customWidth="1"/>
  </cols>
  <sheetData>
    <row r="1" spans="1:8" x14ac:dyDescent="0.35">
      <c r="A1" s="6" t="s">
        <v>7</v>
      </c>
      <c r="B1" s="5" t="s">
        <v>6</v>
      </c>
      <c r="C1" s="5" t="s">
        <v>5</v>
      </c>
      <c r="D1" s="5" t="s">
        <v>4</v>
      </c>
      <c r="E1" s="5" t="s">
        <v>3</v>
      </c>
      <c r="F1" s="5" t="s">
        <v>2</v>
      </c>
      <c r="G1" s="5" t="s">
        <v>1</v>
      </c>
      <c r="H1" s="4" t="s">
        <v>0</v>
      </c>
    </row>
    <row r="2" spans="1:8" x14ac:dyDescent="0.35">
      <c r="A2" s="3" t="str" cm="1">
        <f t="array" ref="A2">SelectedCountry[]</f>
        <v/>
      </c>
      <c r="B2" s="2" t="str" cm="1">
        <f t="array" ref="B2">truncatedPlatformName[]</f>
        <v/>
      </c>
      <c r="C2" s="2"/>
      <c r="D2" s="2" t="str" cm="1">
        <f t="array" ref="D2">SelectedCountryCode[]</f>
        <v/>
      </c>
      <c r="E2" s="2" t="str" cm="1">
        <f t="array" ref="E2">_xlfn.IFNA(VLOOKUP(SelectedCountryCode[], KdsEmeaReferenceData[[#All],[Country Code]:[Service Now Country Name]], 3, FALSE), "")</f>
        <v/>
      </c>
      <c r="F2" s="2" t="str" cm="1">
        <f t="array" ref="F2">selectedGDS[]</f>
        <v/>
      </c>
      <c r="G2" s="2" t="str" cm="1">
        <f t="array" ref="G2">CompanyName[]</f>
        <v/>
      </c>
      <c r="H2" s="1" t="str">
        <f>IF(ISBLANK(Region), "", Region)</f>
        <v/>
      </c>
    </row>
    <row r="14" spans="1:8" x14ac:dyDescent="0.35">
      <c r="B14" s="6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0EAED-B389-4239-AF75-A02AD2FE0709}">
  <sheetPr codeName="Sheet2">
    <tabColor theme="9" tint="0.79998168889431442"/>
  </sheetPr>
  <dimension ref="A1:C2"/>
  <sheetViews>
    <sheetView workbookViewId="0">
      <selection activeCell="E7" sqref="E7"/>
    </sheetView>
  </sheetViews>
  <sheetFormatPr defaultColWidth="42" defaultRowHeight="14.5" x14ac:dyDescent="0.35"/>
  <cols>
    <col min="1" max="1" width="6.453125" bestFit="1" customWidth="1"/>
    <col min="2" max="2" width="10.81640625" bestFit="1" customWidth="1"/>
    <col min="3" max="3" width="17.26953125" bestFit="1" customWidth="1"/>
    <col min="4" max="4" width="17.54296875" bestFit="1" customWidth="1"/>
    <col min="5" max="5" width="26" bestFit="1" customWidth="1"/>
  </cols>
  <sheetData>
    <row r="1" spans="1:3" x14ac:dyDescent="0.35">
      <c r="A1" t="s">
        <v>10</v>
      </c>
      <c r="B1" t="s">
        <v>9</v>
      </c>
      <c r="C1" t="s">
        <v>8</v>
      </c>
    </row>
    <row r="2" spans="1:3" x14ac:dyDescent="0.35">
      <c r="A2" s="4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CD716-C31A-4002-8EA6-6C0499592958}">
  <sheetPr codeName="Sheet3">
    <tabColor theme="9" tint="0.79998168889431442"/>
  </sheetPr>
  <dimension ref="A1:C1"/>
  <sheetViews>
    <sheetView workbookViewId="0">
      <selection sqref="A1:C2"/>
    </sheetView>
  </sheetViews>
  <sheetFormatPr defaultColWidth="69.08984375" defaultRowHeight="14.5" x14ac:dyDescent="0.35"/>
  <cols>
    <col min="1" max="1" width="14.453125" bestFit="1" customWidth="1"/>
    <col min="2" max="2" width="20.54296875" bestFit="1" customWidth="1"/>
    <col min="3" max="3" width="10.81640625" bestFit="1" customWidth="1"/>
  </cols>
  <sheetData>
    <row r="1" spans="1:3" x14ac:dyDescent="0.35">
      <c r="A1" t="s">
        <v>12</v>
      </c>
      <c r="B1" t="s">
        <v>11</v>
      </c>
      <c r="C1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0919-59DF-4F61-A7E8-4A50E468FBA6}">
  <sheetPr codeName="Sheet4">
    <tabColor theme="9" tint="0.79998168889431442"/>
  </sheetPr>
  <dimension ref="A1:E2"/>
  <sheetViews>
    <sheetView workbookViewId="0"/>
  </sheetViews>
  <sheetFormatPr defaultColWidth="52.1796875" defaultRowHeight="14.5" x14ac:dyDescent="0.35"/>
  <cols>
    <col min="1" max="1" width="8.7265625" bestFit="1" customWidth="1"/>
    <col min="2" max="2" width="10.81640625" bestFit="1" customWidth="1"/>
    <col min="3" max="3" width="17.26953125" bestFit="1" customWidth="1"/>
    <col min="4" max="4" width="11.08984375" bestFit="1" customWidth="1"/>
    <col min="5" max="5" width="6.54296875" bestFit="1" customWidth="1"/>
  </cols>
  <sheetData>
    <row r="1" spans="1:5" x14ac:dyDescent="0.35">
      <c r="A1" s="10" t="s">
        <v>10</v>
      </c>
      <c r="B1" t="s">
        <v>9</v>
      </c>
      <c r="C1" t="s">
        <v>8</v>
      </c>
      <c r="D1" t="s">
        <v>13</v>
      </c>
      <c r="E1" t="s">
        <v>2</v>
      </c>
    </row>
    <row r="2" spans="1:5" x14ac:dyDescent="0.35">
      <c r="A2" s="4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82163-AA10-4F3C-8EFC-C0C38F107DAF}">
  <sheetPr codeName="Sheet5">
    <tabColor theme="9" tint="0.79998168889431442"/>
  </sheetPr>
  <dimension ref="A1:D2"/>
  <sheetViews>
    <sheetView workbookViewId="0">
      <selection sqref="A1:D2"/>
    </sheetView>
  </sheetViews>
  <sheetFormatPr defaultColWidth="65.54296875" defaultRowHeight="14.5" x14ac:dyDescent="0.35"/>
  <cols>
    <col min="1" max="1" width="9.90625" bestFit="1" customWidth="1"/>
    <col min="2" max="2" width="13.90625" bestFit="1" customWidth="1"/>
    <col min="3" max="3" width="6.1796875" bestFit="1" customWidth="1"/>
    <col min="4" max="4" width="14.6328125" bestFit="1" customWidth="1"/>
  </cols>
  <sheetData>
    <row r="1" spans="1:4" x14ac:dyDescent="0.35">
      <c r="A1" t="s">
        <v>15</v>
      </c>
      <c r="B1" t="s">
        <v>16</v>
      </c>
      <c r="C1" t="s">
        <v>17</v>
      </c>
      <c r="D1" t="s">
        <v>14</v>
      </c>
    </row>
    <row r="2" spans="1:4" x14ac:dyDescent="0.35">
      <c r="A2" s="43"/>
      <c r="B2" s="4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39F4-F155-4E86-BD32-7BC9E5C66A22}">
  <sheetPr codeName="Sheet6">
    <tabColor theme="9" tint="0.79998168889431442"/>
  </sheetPr>
  <dimension ref="A1:D2"/>
  <sheetViews>
    <sheetView workbookViewId="0">
      <selection sqref="A1:D2"/>
    </sheetView>
  </sheetViews>
  <sheetFormatPr defaultColWidth="49.08984375" defaultRowHeight="14.5" x14ac:dyDescent="0.35"/>
  <cols>
    <col min="1" max="1" width="6.1796875" bestFit="1" customWidth="1"/>
    <col min="2" max="2" width="13.90625" bestFit="1" customWidth="1"/>
    <col min="3" max="3" width="9.90625" bestFit="1" customWidth="1"/>
    <col min="4" max="4" width="14.6328125" bestFit="1" customWidth="1"/>
  </cols>
  <sheetData>
    <row r="1" spans="1:4" x14ac:dyDescent="0.35">
      <c r="A1" t="s">
        <v>17</v>
      </c>
      <c r="B1" t="s">
        <v>16</v>
      </c>
      <c r="C1" t="s">
        <v>15</v>
      </c>
      <c r="D1" t="s">
        <v>14</v>
      </c>
    </row>
    <row r="2" spans="1:4" x14ac:dyDescent="0.35">
      <c r="C2" s="4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1B82-01B6-425D-A225-78130E4A0A2A}">
  <sheetPr codeName="Sheet7">
    <tabColor theme="9" tint="0.79998168889431442"/>
  </sheetPr>
  <dimension ref="A1:B1"/>
  <sheetViews>
    <sheetView workbookViewId="0">
      <selection sqref="A1:B2"/>
    </sheetView>
  </sheetViews>
  <sheetFormatPr defaultColWidth="51.08984375" defaultRowHeight="14.5" x14ac:dyDescent="0.35"/>
  <cols>
    <col min="1" max="1" width="13.90625" bestFit="1" customWidth="1"/>
    <col min="2" max="2" width="9.90625" bestFit="1" customWidth="1"/>
  </cols>
  <sheetData>
    <row r="1" spans="1:2" x14ac:dyDescent="0.35">
      <c r="A1" t="s">
        <v>16</v>
      </c>
      <c r="B1" t="s">
        <v>15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7F3D-233B-4D10-96A6-10B1D0E8C072}">
  <sheetPr codeName="Sheet8">
    <tabColor theme="9" tint="0.79998168889431442"/>
  </sheetPr>
  <dimension ref="A1:I2"/>
  <sheetViews>
    <sheetView workbookViewId="0">
      <selection activeCell="D9" sqref="D9"/>
    </sheetView>
  </sheetViews>
  <sheetFormatPr defaultColWidth="22.6328125" defaultRowHeight="14.5" x14ac:dyDescent="0.35"/>
  <cols>
    <col min="1" max="1" width="10.81640625" bestFit="1" customWidth="1"/>
    <col min="2" max="2" width="6.453125" bestFit="1" customWidth="1"/>
    <col min="3" max="3" width="15" bestFit="1" customWidth="1"/>
    <col min="4" max="4" width="20" bestFit="1" customWidth="1"/>
  </cols>
  <sheetData>
    <row r="1" spans="1:9" x14ac:dyDescent="0.35">
      <c r="A1" t="s">
        <v>9</v>
      </c>
      <c r="B1" t="s">
        <v>10</v>
      </c>
      <c r="C1" t="s">
        <v>126</v>
      </c>
      <c r="D1" t="s">
        <v>127</v>
      </c>
      <c r="E1" s="10"/>
      <c r="F1" s="10"/>
      <c r="G1" s="10"/>
      <c r="H1" s="10"/>
      <c r="I1" s="10"/>
    </row>
    <row r="2" spans="1:9" x14ac:dyDescent="0.35">
      <c r="B2" s="4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F5DA4-2BBC-4A56-BDEB-615486EB61AF}">
  <sheetPr codeName="Sheet9">
    <tabColor theme="9" tint="0.79998168889431442"/>
  </sheetPr>
  <dimension ref="A1:H2"/>
  <sheetViews>
    <sheetView zoomScale="85" zoomScaleNormal="85" workbookViewId="0">
      <selection activeCell="A2" sqref="A2"/>
    </sheetView>
  </sheetViews>
  <sheetFormatPr defaultColWidth="41" defaultRowHeight="14.5" x14ac:dyDescent="0.35"/>
  <cols>
    <col min="1" max="1" width="19.36328125" bestFit="1" customWidth="1"/>
    <col min="2" max="2" width="13.90625" bestFit="1" customWidth="1"/>
    <col min="3" max="3" width="9.90625" bestFit="1" customWidth="1"/>
    <col min="4" max="4" width="14.81640625" bestFit="1" customWidth="1"/>
    <col min="5" max="5" width="14.08984375" bestFit="1" customWidth="1"/>
    <col min="6" max="6" width="11.08984375" bestFit="1" customWidth="1"/>
    <col min="7" max="7" width="14.08984375" bestFit="1" customWidth="1"/>
    <col min="8" max="8" width="16.08984375" bestFit="1" customWidth="1"/>
  </cols>
  <sheetData>
    <row r="1" spans="1:8" ht="16.75" customHeight="1" x14ac:dyDescent="0.45">
      <c r="A1" s="61" t="s">
        <v>25</v>
      </c>
      <c r="B1" s="62" t="s">
        <v>24</v>
      </c>
      <c r="C1" s="62" t="s">
        <v>23</v>
      </c>
      <c r="D1" s="62" t="s">
        <v>22</v>
      </c>
      <c r="E1" s="62" t="s">
        <v>21</v>
      </c>
      <c r="F1" s="62" t="s">
        <v>20</v>
      </c>
      <c r="G1" s="62" t="s">
        <v>19</v>
      </c>
      <c r="H1" s="63" t="s">
        <v>18</v>
      </c>
    </row>
    <row r="2" spans="1:8" s="12" customFormat="1" x14ac:dyDescent="0.35">
      <c r="A2" s="3"/>
      <c r="B2" s="2"/>
      <c r="C2" s="2"/>
      <c r="D2" s="2"/>
      <c r="E2" s="2"/>
      <c r="F2" s="2"/>
      <c r="G2" s="2"/>
      <c r="H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F6841-4B21-4692-B95E-AEBC73B2088E}">
  <sheetPr codeName="Sheet10">
    <tabColor theme="9" tint="0.79998168889431442"/>
  </sheetPr>
  <dimension ref="A1:D3"/>
  <sheetViews>
    <sheetView workbookViewId="0">
      <selection sqref="A1:D1"/>
    </sheetView>
  </sheetViews>
  <sheetFormatPr defaultColWidth="60.1796875" defaultRowHeight="14.5" x14ac:dyDescent="0.35"/>
  <cols>
    <col min="1" max="1" width="18.90625" bestFit="1" customWidth="1"/>
    <col min="2" max="2" width="14.81640625" bestFit="1" customWidth="1"/>
    <col min="3" max="3" width="12.26953125" bestFit="1" customWidth="1"/>
    <col min="4" max="4" width="16.453125" bestFit="1" customWidth="1"/>
  </cols>
  <sheetData>
    <row r="1" spans="1:4" x14ac:dyDescent="0.35">
      <c r="A1" s="6" t="s">
        <v>29</v>
      </c>
      <c r="B1" s="5" t="s">
        <v>28</v>
      </c>
      <c r="C1" s="5" t="s">
        <v>27</v>
      </c>
      <c r="D1" s="4" t="s">
        <v>26</v>
      </c>
    </row>
    <row r="2" spans="1:4" x14ac:dyDescent="0.35">
      <c r="A2" s="3" t="str">
        <f>IF(ISBLANK(Client_Name), "", Client_Name)</f>
        <v/>
      </c>
      <c r="B2" s="2"/>
      <c r="C2" s="2"/>
      <c r="D2" s="1"/>
    </row>
    <row r="3" spans="1:4" x14ac:dyDescent="0.35">
      <c r="D3" s="1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5BE0C-B230-416A-BF7F-9E5F452E1A70}">
  <sheetPr codeName="Sheet11">
    <tabColor theme="9" tint="0.79998168889431442"/>
  </sheetPr>
  <dimension ref="A1:H3"/>
  <sheetViews>
    <sheetView zoomScale="85" zoomScaleNormal="85" workbookViewId="0">
      <selection activeCell="A3" sqref="A2:A3"/>
    </sheetView>
  </sheetViews>
  <sheetFormatPr defaultColWidth="43.6328125" defaultRowHeight="14.5" x14ac:dyDescent="0.35"/>
  <cols>
    <col min="1" max="1" width="19.1796875" bestFit="1" customWidth="1"/>
    <col min="2" max="2" width="15.90625" bestFit="1" customWidth="1"/>
    <col min="3" max="3" width="15.26953125" bestFit="1" customWidth="1"/>
    <col min="4" max="4" width="12.90625" bestFit="1" customWidth="1"/>
    <col min="5" max="5" width="12.6328125" bestFit="1" customWidth="1"/>
    <col min="6" max="6" width="9.36328125" bestFit="1" customWidth="1"/>
    <col min="7" max="7" width="12.54296875" bestFit="1" customWidth="1"/>
    <col min="8" max="8" width="13.08984375" bestFit="1" customWidth="1"/>
  </cols>
  <sheetData>
    <row r="1" spans="1:8" x14ac:dyDescent="0.35">
      <c r="A1" s="6" t="s">
        <v>29</v>
      </c>
      <c r="B1" s="5" t="s">
        <v>34</v>
      </c>
      <c r="C1" s="5" t="s">
        <v>33</v>
      </c>
      <c r="D1" s="5" t="s">
        <v>32</v>
      </c>
      <c r="E1" s="5" t="s">
        <v>24</v>
      </c>
      <c r="F1" s="5" t="s">
        <v>23</v>
      </c>
      <c r="G1" s="5" t="s">
        <v>21</v>
      </c>
      <c r="H1" s="4" t="s">
        <v>31</v>
      </c>
    </row>
    <row r="2" spans="1:8" x14ac:dyDescent="0.35">
      <c r="A2" s="39" t="str" cm="1">
        <f t="array" ref="A2">IF(ISBLANK(CountryName),"",CONCATENATE(Client_Name,"-",Region,"-",CAPID4))</f>
        <v/>
      </c>
      <c r="B2" s="39" t="str" cm="1">
        <f t="array" ref="B2">IF(ISBLANK(CountryName),"",CONCATENATE(Client_Name,"-",Region,"-",CAPID4))</f>
        <v/>
      </c>
      <c r="C2" s="38"/>
      <c r="D2" s="38"/>
      <c r="E2" s="38" t="s">
        <v>30</v>
      </c>
      <c r="F2" s="38" t="s">
        <v>30</v>
      </c>
      <c r="G2" s="2" t="str">
        <f>IF(ISBLANK(CountryName), "", CountryName)</f>
        <v/>
      </c>
      <c r="H2" s="7" t="s">
        <v>30</v>
      </c>
    </row>
    <row r="3" spans="1:8" x14ac:dyDescent="0.35">
      <c r="A3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40AF8-B236-4E6B-BC70-3025DF3E0481}">
  <sheetPr codeName="Sheet12">
    <tabColor theme="9" tint="0.79998168889431442"/>
  </sheetPr>
  <dimension ref="A1:P2"/>
  <sheetViews>
    <sheetView workbookViewId="0">
      <selection activeCell="B2" sqref="B2"/>
    </sheetView>
  </sheetViews>
  <sheetFormatPr defaultColWidth="64.81640625" defaultRowHeight="14.5" x14ac:dyDescent="0.35"/>
  <cols>
    <col min="1" max="1" width="18.90625" bestFit="1" customWidth="1"/>
    <col min="2" max="2" width="15.54296875" bestFit="1" customWidth="1"/>
    <col min="3" max="3" width="14.54296875" bestFit="1" customWidth="1"/>
    <col min="4" max="5" width="12.26953125" bestFit="1" customWidth="1"/>
    <col min="6" max="6" width="8.7265625" bestFit="1" customWidth="1"/>
    <col min="7" max="7" width="12.08984375" bestFit="1" customWidth="1"/>
    <col min="8" max="8" width="12.81640625" bestFit="1" customWidth="1"/>
    <col min="9" max="9" width="10.90625" bestFit="1" customWidth="1"/>
    <col min="10" max="10" width="10.08984375" bestFit="1" customWidth="1"/>
    <col min="11" max="11" width="19.36328125" bestFit="1" customWidth="1"/>
    <col min="12" max="12" width="17.81640625" bestFit="1" customWidth="1"/>
    <col min="13" max="13" width="14" bestFit="1" customWidth="1"/>
    <col min="14" max="14" width="32.1796875" bestFit="1" customWidth="1"/>
    <col min="15" max="15" width="12.81640625" bestFit="1" customWidth="1"/>
    <col min="16" max="16" width="23.453125" bestFit="1" customWidth="1"/>
  </cols>
  <sheetData>
    <row r="1" spans="1:16" x14ac:dyDescent="0.35">
      <c r="A1" s="6" t="s">
        <v>29</v>
      </c>
      <c r="B1" s="5" t="s">
        <v>34</v>
      </c>
      <c r="C1" s="5" t="s">
        <v>33</v>
      </c>
      <c r="D1" s="5" t="s">
        <v>32</v>
      </c>
      <c r="E1" s="5" t="s">
        <v>24</v>
      </c>
      <c r="F1" s="5" t="s">
        <v>23</v>
      </c>
      <c r="G1" s="5" t="s">
        <v>21</v>
      </c>
      <c r="H1" s="5" t="s">
        <v>31</v>
      </c>
      <c r="I1" s="5" t="s">
        <v>42</v>
      </c>
      <c r="J1" s="5" t="s">
        <v>41</v>
      </c>
      <c r="K1" s="5" t="s">
        <v>40</v>
      </c>
      <c r="L1" s="5" t="s">
        <v>39</v>
      </c>
      <c r="M1" s="5" t="s">
        <v>38</v>
      </c>
      <c r="N1" s="5" t="s">
        <v>37</v>
      </c>
      <c r="O1" s="5" t="s">
        <v>36</v>
      </c>
      <c r="P1" s="4" t="s">
        <v>35</v>
      </c>
    </row>
    <row r="2" spans="1:16" s="15" customFormat="1" x14ac:dyDescent="0.35">
      <c r="A2" s="40" t="str" cm="1">
        <f t="array" ref="A2">IF(ISBLANK(Client_Name),"",CONCATENATE(Client_Name,"-",CountryCode,"-",CAPID4,"-",PlatformCode))</f>
        <v/>
      </c>
      <c r="B2" s="8" t="str">
        <f>IF(ISBLANK(Client_Name),"",CONCATENATE("GBT3/",Client_Name,"_",CountryCode))</f>
        <v/>
      </c>
      <c r="C2" s="16"/>
      <c r="D2" s="16"/>
      <c r="E2" s="14" t="s">
        <v>30</v>
      </c>
      <c r="F2" s="14" t="s">
        <v>30</v>
      </c>
      <c r="G2" s="9" t="str">
        <f>IF(ISBLANK(CountryName), "", CountryName)</f>
        <v/>
      </c>
      <c r="H2" s="14" t="s">
        <v>30</v>
      </c>
      <c r="I2" s="8"/>
      <c r="J2" s="8"/>
      <c r="K2" s="42"/>
      <c r="L2" s="9" t="str" cm="1">
        <f t="array" ref="L2">IsGuestBooking[]</f>
        <v/>
      </c>
      <c r="M2" s="9"/>
      <c r="N2" s="9"/>
      <c r="O2" s="9" t="str" cm="1">
        <f t="array" ref="O2">truncatedPlatformName[]</f>
        <v/>
      </c>
      <c r="P2" s="4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E759-1D1D-4324-BF4A-A0D0A397C483}">
  <sheetPr codeName="Sheet13">
    <tabColor theme="9" tint="0.79998168889431442"/>
  </sheetPr>
  <dimension ref="A1:I2"/>
  <sheetViews>
    <sheetView workbookViewId="0">
      <selection activeCell="H8" sqref="H8"/>
    </sheetView>
  </sheetViews>
  <sheetFormatPr defaultColWidth="56.08984375" defaultRowHeight="14.5" x14ac:dyDescent="0.35"/>
  <cols>
    <col min="1" max="1" width="16.453125" bestFit="1" customWidth="1"/>
    <col min="2" max="2" width="13.08984375" bestFit="1" customWidth="1"/>
    <col min="3" max="3" width="12.1796875" bestFit="1" customWidth="1"/>
    <col min="4" max="4" width="9.90625" bestFit="1" customWidth="1"/>
    <col min="5" max="5" width="9.81640625" bestFit="1" customWidth="1"/>
    <col min="6" max="6" width="6.26953125" bestFit="1" customWidth="1"/>
    <col min="7" max="7" width="9.81640625" bestFit="1" customWidth="1"/>
    <col min="8" max="8" width="10.453125" bestFit="1" customWidth="1"/>
    <col min="9" max="9" width="6.90625" bestFit="1" customWidth="1"/>
    <col min="10" max="10" width="28.453125" bestFit="1" customWidth="1"/>
    <col min="11" max="11" width="16.7265625" bestFit="1" customWidth="1"/>
    <col min="12" max="12" width="13.1796875" bestFit="1" customWidth="1"/>
    <col min="13" max="13" width="12.36328125" bestFit="1" customWidth="1"/>
    <col min="14" max="14" width="10.08984375" bestFit="1" customWidth="1"/>
    <col min="15" max="15" width="14.81640625" bestFit="1" customWidth="1"/>
    <col min="16" max="16" width="8.7265625" bestFit="1" customWidth="1"/>
    <col min="17" max="17" width="9.90625" bestFit="1" customWidth="1"/>
    <col min="18" max="18" width="10.6328125" bestFit="1" customWidth="1"/>
    <col min="19" max="19" width="8.81640625" bestFit="1" customWidth="1"/>
  </cols>
  <sheetData>
    <row r="1" spans="1:9" x14ac:dyDescent="0.35">
      <c r="A1" t="s">
        <v>29</v>
      </c>
      <c r="B1" t="s">
        <v>144</v>
      </c>
      <c r="C1" t="s">
        <v>33</v>
      </c>
      <c r="D1" t="s">
        <v>32</v>
      </c>
      <c r="E1" t="s">
        <v>24</v>
      </c>
      <c r="F1" t="s">
        <v>23</v>
      </c>
      <c r="G1" t="s">
        <v>21</v>
      </c>
      <c r="H1" t="s">
        <v>31</v>
      </c>
      <c r="I1" t="s">
        <v>145</v>
      </c>
    </row>
    <row r="2" spans="1:9" x14ac:dyDescent="0.35">
      <c r="I2" s="43"/>
    </row>
  </sheetData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2D5CB-1443-4A5E-9E65-F1B068B54CC2}">
  <sheetPr codeName="Sheet15">
    <tabColor theme="9" tint="0.79998168889431442"/>
  </sheetPr>
  <dimension ref="A1:E2"/>
  <sheetViews>
    <sheetView workbookViewId="0">
      <selection activeCell="F6" sqref="F6"/>
    </sheetView>
  </sheetViews>
  <sheetFormatPr defaultColWidth="36.1796875" defaultRowHeight="14.5" x14ac:dyDescent="0.35"/>
  <cols>
    <col min="1" max="1" width="18.08984375" bestFit="1" customWidth="1"/>
    <col min="2" max="2" width="26.08984375" customWidth="1"/>
    <col min="3" max="3" width="9.90625" bestFit="1" customWidth="1"/>
    <col min="4" max="4" width="15" bestFit="1" customWidth="1"/>
    <col min="5" max="5" width="8.1796875" bestFit="1" customWidth="1"/>
  </cols>
  <sheetData>
    <row r="1" spans="1:5" x14ac:dyDescent="0.35">
      <c r="A1" s="35" t="s">
        <v>47</v>
      </c>
      <c r="B1" s="36" t="s">
        <v>46</v>
      </c>
      <c r="C1" s="36" t="s">
        <v>45</v>
      </c>
      <c r="D1" s="36" t="s">
        <v>44</v>
      </c>
      <c r="E1" s="37" t="s">
        <v>43</v>
      </c>
    </row>
    <row r="2" spans="1:5" x14ac:dyDescent="0.35">
      <c r="A2" s="3"/>
      <c r="B2" s="34"/>
      <c r="C2" s="2"/>
      <c r="D2" s="2"/>
      <c r="E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B79B-FE4A-4EBB-99F8-EE65B2490D3A}">
  <sheetPr codeName="Sheet16">
    <tabColor theme="9" tint="0.79998168889431442"/>
  </sheetPr>
  <dimension ref="A1:F2"/>
  <sheetViews>
    <sheetView workbookViewId="0">
      <selection activeCell="D2" sqref="D2"/>
    </sheetView>
  </sheetViews>
  <sheetFormatPr defaultColWidth="57.36328125" defaultRowHeight="14.5" x14ac:dyDescent="0.35"/>
  <cols>
    <col min="1" max="1" width="8.81640625" bestFit="1" customWidth="1"/>
    <col min="2" max="2" width="12.7265625" bestFit="1" customWidth="1"/>
    <col min="3" max="3" width="15.54296875" bestFit="1" customWidth="1"/>
    <col min="4" max="4" width="15.08984375" bestFit="1" customWidth="1"/>
    <col min="5" max="5" width="13.7265625" bestFit="1" customWidth="1"/>
    <col min="6" max="6" width="13.36328125" bestFit="1" customWidth="1"/>
  </cols>
  <sheetData>
    <row r="1" spans="1:6" x14ac:dyDescent="0.35">
      <c r="A1" s="6" t="s">
        <v>2</v>
      </c>
      <c r="B1" s="5" t="s">
        <v>36</v>
      </c>
      <c r="C1" s="5" t="s">
        <v>1</v>
      </c>
      <c r="D1" s="5" t="s">
        <v>50</v>
      </c>
      <c r="E1" s="5" t="s">
        <v>49</v>
      </c>
      <c r="F1" s="4" t="s">
        <v>48</v>
      </c>
    </row>
    <row r="2" spans="1:6" x14ac:dyDescent="0.35">
      <c r="A2" s="3" t="str" cm="1">
        <f t="array" ref="A2">IF(ISBLANK(KdsEmeaGDS), "", KdsEmeaGDS)</f>
        <v/>
      </c>
      <c r="B2" s="2" t="str" cm="1">
        <f t="array" ref="B2">truncatedPlatformName[]</f>
        <v/>
      </c>
      <c r="C2" s="2" t="str" cm="1">
        <f t="array" ref="C2">IF(ISBLANK(KdsEmeaClientName), "", KdsEmeaClientName)</f>
        <v/>
      </c>
      <c r="D2" s="2" t="str">
        <f>IF(OR(TRIM(UPPER(isMtpSelected))="NO", TRIM(UPPER(isMtpSelected))=""),"",IF(ISBLANK(selectedMTP),"^MISSING",selectedMTP))</f>
        <v/>
      </c>
      <c r="E2" s="2"/>
      <c r="F2" s="1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3245-A5D5-4C15-A44E-3C773410E55E}">
  <sheetPr codeName="Sheet17">
    <tabColor theme="9" tint="0.79998168889431442"/>
  </sheetPr>
  <dimension ref="A1:B2"/>
  <sheetViews>
    <sheetView workbookViewId="0"/>
  </sheetViews>
  <sheetFormatPr defaultColWidth="38.08984375" defaultRowHeight="14.5" x14ac:dyDescent="0.35"/>
  <cols>
    <col min="1" max="1" width="5.453125" bestFit="1" customWidth="1"/>
    <col min="2" max="2" width="16.7265625" bestFit="1" customWidth="1"/>
  </cols>
  <sheetData>
    <row r="1" spans="1:2" x14ac:dyDescent="0.35">
      <c r="A1" t="s">
        <v>52</v>
      </c>
      <c r="B1" t="s">
        <v>51</v>
      </c>
    </row>
    <row r="2" spans="1:2" x14ac:dyDescent="0.35">
      <c r="A2" s="43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4DC82-4DEA-4576-A6E9-09555CA2B5F0}">
  <sheetPr codeName="Sheet14">
    <tabColor theme="9" tint="0.79998168889431442"/>
  </sheetPr>
  <dimension ref="A1:L2"/>
  <sheetViews>
    <sheetView tabSelected="1" zoomScaleNormal="100" workbookViewId="0">
      <selection activeCell="I12" sqref="I12"/>
    </sheetView>
  </sheetViews>
  <sheetFormatPr defaultColWidth="79.453125" defaultRowHeight="14.5" x14ac:dyDescent="0.35"/>
  <cols>
    <col min="1" max="1" width="15.26953125" bestFit="1" customWidth="1"/>
    <col min="2" max="2" width="16.453125" bestFit="1" customWidth="1"/>
    <col min="3" max="3" width="13.08984375" bestFit="1" customWidth="1"/>
    <col min="4" max="4" width="12.1796875" bestFit="1" customWidth="1"/>
    <col min="5" max="5" width="9.90625" bestFit="1" customWidth="1"/>
    <col min="6" max="6" width="9.81640625" bestFit="1" customWidth="1"/>
    <col min="7" max="7" width="6.26953125" bestFit="1" customWidth="1"/>
    <col min="8" max="8" width="9.81640625" bestFit="1" customWidth="1"/>
    <col min="9" max="10" width="10.453125" bestFit="1" customWidth="1"/>
    <col min="11" max="11" width="6.453125" bestFit="1" customWidth="1"/>
    <col min="12" max="13" width="10.81640625" bestFit="1" customWidth="1"/>
  </cols>
  <sheetData>
    <row r="1" spans="1:12" x14ac:dyDescent="0.35">
      <c r="A1" t="s">
        <v>39</v>
      </c>
      <c r="B1" t="s">
        <v>29</v>
      </c>
      <c r="C1" t="s">
        <v>144</v>
      </c>
      <c r="D1" t="s">
        <v>33</v>
      </c>
      <c r="E1" t="s">
        <v>32</v>
      </c>
      <c r="F1" t="s">
        <v>24</v>
      </c>
      <c r="G1" t="s">
        <v>23</v>
      </c>
      <c r="H1" t="s">
        <v>21</v>
      </c>
      <c r="I1" t="s">
        <v>31</v>
      </c>
      <c r="J1" t="s">
        <v>36</v>
      </c>
      <c r="K1" t="s">
        <v>10</v>
      </c>
      <c r="L1" t="s">
        <v>9</v>
      </c>
    </row>
    <row r="2" spans="1:12" x14ac:dyDescent="0.35">
      <c r="K2" s="43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2E644-C819-428F-A0D0-A80F30C1B8F9}">
  <sheetPr codeName="Sheet18">
    <tabColor rgb="FF0070C0"/>
  </sheetPr>
  <dimension ref="A1:AP1"/>
  <sheetViews>
    <sheetView workbookViewId="0"/>
  </sheetViews>
  <sheetFormatPr defaultRowHeight="14.5" x14ac:dyDescent="0.35"/>
  <cols>
    <col min="2" max="2" width="9.1796875" customWidth="1"/>
    <col min="4" max="4" width="17.08984375" customWidth="1"/>
    <col min="5" max="5" width="9.453125" customWidth="1"/>
    <col min="8" max="8" width="12.36328125" customWidth="1"/>
    <col min="9" max="9" width="22.453125" customWidth="1"/>
    <col min="11" max="11" width="13.81640625" customWidth="1"/>
    <col min="12" max="12" width="15.6328125" customWidth="1"/>
    <col min="13" max="13" width="13.7265625" customWidth="1"/>
    <col min="14" max="14" width="17.54296875" customWidth="1"/>
    <col min="15" max="15" width="10.36328125" customWidth="1"/>
    <col min="16" max="16" width="11.54296875" customWidth="1"/>
    <col min="17" max="17" width="10.08984375" customWidth="1"/>
    <col min="18" max="18" width="19.54296875" customWidth="1"/>
    <col min="19" max="19" width="16.81640625" customWidth="1"/>
    <col min="20" max="20" width="46.7265625" customWidth="1"/>
    <col min="21" max="21" width="38" customWidth="1"/>
    <col min="22" max="22" width="39.90625" customWidth="1"/>
    <col min="23" max="23" width="39.81640625" customWidth="1"/>
    <col min="24" max="24" width="10.26953125" customWidth="1"/>
    <col min="27" max="27" width="9.54296875" customWidth="1"/>
    <col min="28" max="28" width="22.81640625" customWidth="1"/>
    <col min="31" max="31" width="35.26953125" customWidth="1"/>
    <col min="32" max="32" width="26.90625" customWidth="1"/>
    <col min="33" max="33" width="41.6328125" customWidth="1"/>
    <col min="34" max="34" width="9.26953125" customWidth="1"/>
    <col min="35" max="35" width="15.36328125" customWidth="1"/>
    <col min="36" max="36" width="15.453125" customWidth="1"/>
    <col min="37" max="37" width="46.7265625" customWidth="1"/>
    <col min="38" max="38" width="15.90625" customWidth="1"/>
    <col min="39" max="39" width="25.1796875" customWidth="1"/>
    <col min="40" max="40" width="21.453125" customWidth="1"/>
    <col min="41" max="41" width="16.26953125" customWidth="1"/>
    <col min="42" max="42" width="12.81640625" customWidth="1"/>
  </cols>
  <sheetData>
    <row r="1" spans="1:42" ht="92" x14ac:dyDescent="0.35">
      <c r="A1" s="22" t="s">
        <v>83</v>
      </c>
      <c r="B1" s="21" t="s">
        <v>21</v>
      </c>
      <c r="C1" s="20" t="s">
        <v>0</v>
      </c>
      <c r="D1" s="19" t="s">
        <v>82</v>
      </c>
      <c r="E1" s="19" t="s">
        <v>24</v>
      </c>
      <c r="F1" s="19" t="s">
        <v>23</v>
      </c>
      <c r="G1" s="19" t="s">
        <v>20</v>
      </c>
      <c r="H1" s="19" t="s">
        <v>81</v>
      </c>
      <c r="I1" s="19" t="s">
        <v>80</v>
      </c>
      <c r="J1" s="19" t="s">
        <v>216</v>
      </c>
      <c r="K1" s="17" t="s">
        <v>79</v>
      </c>
      <c r="L1" s="17" t="s">
        <v>78</v>
      </c>
      <c r="M1" s="17" t="s">
        <v>77</v>
      </c>
      <c r="N1" s="17" t="s">
        <v>76</v>
      </c>
      <c r="O1" s="17" t="s">
        <v>75</v>
      </c>
      <c r="P1" s="17" t="s">
        <v>74</v>
      </c>
      <c r="Q1" s="17" t="s">
        <v>73</v>
      </c>
      <c r="R1" s="17" t="s">
        <v>72</v>
      </c>
      <c r="S1" s="17" t="s">
        <v>71</v>
      </c>
      <c r="T1" s="17" t="s">
        <v>70</v>
      </c>
      <c r="U1" s="17" t="s">
        <v>69</v>
      </c>
      <c r="V1" s="17" t="s">
        <v>68</v>
      </c>
      <c r="W1" s="17" t="s">
        <v>67</v>
      </c>
      <c r="X1" s="17" t="s">
        <v>9</v>
      </c>
      <c r="Y1" s="17" t="s">
        <v>213</v>
      </c>
      <c r="Z1" s="17" t="s">
        <v>214</v>
      </c>
      <c r="AA1" s="17" t="s">
        <v>66</v>
      </c>
      <c r="AB1" s="18" t="s">
        <v>65</v>
      </c>
      <c r="AC1" s="17" t="s">
        <v>221</v>
      </c>
      <c r="AD1" s="17" t="s">
        <v>215</v>
      </c>
      <c r="AE1" s="17" t="s">
        <v>64</v>
      </c>
      <c r="AF1" s="17" t="s">
        <v>63</v>
      </c>
      <c r="AG1" s="17" t="s">
        <v>62</v>
      </c>
      <c r="AH1" s="17" t="s">
        <v>61</v>
      </c>
      <c r="AI1" s="17" t="s">
        <v>60</v>
      </c>
      <c r="AJ1" s="17" t="s">
        <v>59</v>
      </c>
      <c r="AK1" s="17" t="s">
        <v>58</v>
      </c>
      <c r="AL1" s="17" t="s">
        <v>57</v>
      </c>
      <c r="AM1" s="17" t="s">
        <v>56</v>
      </c>
      <c r="AN1" s="17" t="s">
        <v>55</v>
      </c>
      <c r="AO1" s="17" t="s">
        <v>54</v>
      </c>
      <c r="AP1" s="17" t="s">
        <v>53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BFDDA-1481-4FB8-8865-C0862C2FEB22}">
  <sheetPr codeName="Sheet19">
    <tabColor rgb="FF0070C0"/>
  </sheetPr>
  <dimension ref="A1:N1"/>
  <sheetViews>
    <sheetView workbookViewId="0">
      <selection activeCell="N1" sqref="N1"/>
    </sheetView>
  </sheetViews>
  <sheetFormatPr defaultRowHeight="14.5" x14ac:dyDescent="0.35"/>
  <cols>
    <col min="1" max="1" width="14.81640625" customWidth="1"/>
    <col min="2" max="2" width="29.26953125" customWidth="1"/>
    <col min="4" max="4" width="17.26953125" customWidth="1"/>
    <col min="5" max="5" width="12.7265625" customWidth="1"/>
    <col min="6" max="6" width="9.36328125" customWidth="1"/>
    <col min="8" max="8" width="22.54296875" customWidth="1"/>
    <col min="9" max="9" width="33.54296875" customWidth="1"/>
    <col min="10" max="10" width="9.7265625" customWidth="1"/>
  </cols>
  <sheetData>
    <row r="1" spans="1:14" x14ac:dyDescent="0.35">
      <c r="A1" t="s">
        <v>94</v>
      </c>
      <c r="B1" t="s">
        <v>93</v>
      </c>
      <c r="C1" t="s">
        <v>92</v>
      </c>
      <c r="D1" t="s">
        <v>91</v>
      </c>
      <c r="E1" t="s">
        <v>90</v>
      </c>
      <c r="F1" t="s">
        <v>89</v>
      </c>
      <c r="G1" t="s">
        <v>217</v>
      </c>
      <c r="H1" t="s">
        <v>88</v>
      </c>
      <c r="I1" t="s">
        <v>87</v>
      </c>
      <c r="J1" t="s">
        <v>86</v>
      </c>
      <c r="K1" t="s">
        <v>218</v>
      </c>
      <c r="L1" t="s">
        <v>219</v>
      </c>
      <c r="M1" t="s">
        <v>85</v>
      </c>
      <c r="N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9C19-B39C-4D8D-863D-1CA18E0EA393}">
  <sheetPr codeName="Sheet20">
    <tabColor rgb="FF0070C0"/>
  </sheetPr>
  <dimension ref="A1:K2"/>
  <sheetViews>
    <sheetView zoomScale="99" zoomScaleNormal="99" workbookViewId="0">
      <selection activeCell="K1" sqref="K1"/>
    </sheetView>
  </sheetViews>
  <sheetFormatPr defaultRowHeight="14.5" x14ac:dyDescent="0.35"/>
  <cols>
    <col min="1" max="1" width="13.90625" customWidth="1"/>
    <col min="2" max="2" width="14.36328125" customWidth="1"/>
    <col min="3" max="3" width="14.7265625" customWidth="1"/>
    <col min="4" max="4" width="14.81640625" customWidth="1"/>
    <col min="5" max="5" width="18.90625" customWidth="1"/>
    <col min="6" max="6" width="14.1796875" customWidth="1"/>
    <col min="7" max="7" width="16" customWidth="1"/>
    <col min="10" max="10" width="46.7265625" customWidth="1"/>
    <col min="11" max="11" width="12.90625" customWidth="1"/>
  </cols>
  <sheetData>
    <row r="1" spans="1:11" ht="34.5" x14ac:dyDescent="0.35">
      <c r="A1" s="33" t="s">
        <v>102</v>
      </c>
      <c r="B1" s="32" t="s">
        <v>94</v>
      </c>
      <c r="C1" s="31" t="s">
        <v>101</v>
      </c>
      <c r="D1" s="31" t="s">
        <v>100</v>
      </c>
      <c r="E1" s="31" t="s">
        <v>99</v>
      </c>
      <c r="F1" s="29" t="s">
        <v>98</v>
      </c>
      <c r="G1" s="29" t="s">
        <v>97</v>
      </c>
      <c r="H1" s="30" t="s">
        <v>217</v>
      </c>
      <c r="I1" s="29" t="s">
        <v>220</v>
      </c>
      <c r="J1" s="29" t="s">
        <v>96</v>
      </c>
      <c r="K1" s="28" t="s">
        <v>95</v>
      </c>
    </row>
    <row r="2" spans="1:11" x14ac:dyDescent="0.35">
      <c r="A2" s="27"/>
      <c r="B2" s="26"/>
      <c r="C2" s="25"/>
      <c r="D2" s="25"/>
      <c r="E2" s="25"/>
      <c r="F2" s="25"/>
      <c r="G2" s="25"/>
      <c r="H2" s="25"/>
      <c r="I2" s="25"/>
      <c r="J2" s="25"/>
      <c r="K2" s="24"/>
    </row>
  </sheetData>
  <conditionalFormatting sqref="K1">
    <cfRule type="cellIs" dxfId="17" priority="1" operator="equal">
      <formula>"Complete"</formula>
    </cfRule>
    <cfRule type="cellIs" dxfId="16" priority="2" operator="equal">
      <formula>"In Progress"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4C435-1921-4A51-8AB5-4377694AD083}">
  <sheetPr codeName="Sheet45">
    <tabColor theme="8"/>
  </sheetPr>
  <dimension ref="A1:S23"/>
  <sheetViews>
    <sheetView workbookViewId="0">
      <selection activeCell="C16" sqref="C16"/>
    </sheetView>
  </sheetViews>
  <sheetFormatPr defaultRowHeight="14.5" x14ac:dyDescent="0.35"/>
  <cols>
    <col min="1" max="1" width="24.7265625" bestFit="1" customWidth="1"/>
    <col min="2" max="2" width="20.6328125" bestFit="1" customWidth="1"/>
    <col min="3" max="3" width="14.08984375" style="13" customWidth="1"/>
    <col min="4" max="4" width="25.36328125" customWidth="1"/>
    <col min="5" max="5" width="1.453125" customWidth="1"/>
    <col min="6" max="6" width="11" customWidth="1"/>
    <col min="7" max="7" width="12.7265625" customWidth="1"/>
    <col min="8" max="8" width="1.90625" customWidth="1"/>
    <col min="9" max="9" width="11.81640625" customWidth="1"/>
    <col min="10" max="10" width="11.90625" customWidth="1"/>
    <col min="11" max="11" width="2.08984375" customWidth="1"/>
    <col min="14" max="14" width="2.7265625" customWidth="1"/>
    <col min="15" max="15" width="23.6328125" customWidth="1"/>
    <col min="16" max="16" width="21.36328125" customWidth="1"/>
    <col min="17" max="17" width="2.90625" customWidth="1"/>
    <col min="18" max="18" width="15.26953125" customWidth="1"/>
    <col min="19" max="19" width="14.6328125" customWidth="1"/>
  </cols>
  <sheetData>
    <row r="1" spans="1:19" ht="14.5" customHeight="1" x14ac:dyDescent="0.35">
      <c r="A1" t="s">
        <v>103</v>
      </c>
      <c r="B1" t="s">
        <v>104</v>
      </c>
      <c r="C1" s="13" t="s">
        <v>105</v>
      </c>
      <c r="F1" t="s">
        <v>106</v>
      </c>
      <c r="G1" t="s">
        <v>107</v>
      </c>
      <c r="I1" t="s">
        <v>108</v>
      </c>
      <c r="J1" t="s">
        <v>109</v>
      </c>
      <c r="L1" s="23" t="s">
        <v>48</v>
      </c>
      <c r="M1" s="23" t="s">
        <v>29</v>
      </c>
      <c r="O1" t="s">
        <v>128</v>
      </c>
      <c r="P1" s="65" t="s">
        <v>148</v>
      </c>
      <c r="R1" t="s">
        <v>129</v>
      </c>
      <c r="S1" t="s">
        <v>130</v>
      </c>
    </row>
    <row r="2" spans="1:19" x14ac:dyDescent="0.35">
      <c r="A2" t="s">
        <v>110</v>
      </c>
      <c r="B2" t="s">
        <v>111</v>
      </c>
      <c r="D2" s="65" t="s">
        <v>112</v>
      </c>
      <c r="F2" t="str">
        <f>IF(AND(ISBLANK(OneForm_RawData!C4),ISBLANK(OneForm_RawData!C4)), "", IF(AND(OneForm_RawData!C4="Individual Cards", OneForm_RawData!C5="Individual Cards"), "Individual Cards", "Central Card(s) Only"))</f>
        <v/>
      </c>
      <c r="G2" t="str">
        <f>IF(AND(ISBLANK(OneForm_RawData!C4),ISBLANK(OneForm_RawData!C4)), "",IF(AND(OneForm_RawData!C4="Individual Cards", OneForm_RawData!C5="Individual Cards"), "", IF(AND(OneForm_RawData!C4="Individual Cards", OneForm_RawData!C5="Lodge Card/BTA/Central Card"), "Hotel Only", IF(AND(OneForm_RawData!C4="Lodge Card/BTA/Central Card", OneForm_RawData!C5="Individual Cards"), "Air only", "Air and Hotel"))))</f>
        <v/>
      </c>
      <c r="I2" t="s">
        <v>113</v>
      </c>
      <c r="J2" t="s">
        <v>114</v>
      </c>
      <c r="L2" t="s">
        <v>142</v>
      </c>
      <c r="M2" t="s">
        <v>142</v>
      </c>
      <c r="O2" t="str">
        <f>IF(ISBLANK(Full_CAPID),"",LEFT(Full_CAPID, 4))</f>
        <v/>
      </c>
      <c r="P2" s="65"/>
      <c r="R2" t="s">
        <v>131</v>
      </c>
      <c r="S2" t="s">
        <v>134</v>
      </c>
    </row>
    <row r="3" spans="1:19" x14ac:dyDescent="0.35">
      <c r="A3" t="s">
        <v>110</v>
      </c>
      <c r="B3" t="s">
        <v>115</v>
      </c>
      <c r="D3" s="65"/>
      <c r="P3" s="65"/>
      <c r="R3" t="s">
        <v>132</v>
      </c>
      <c r="S3" t="s">
        <v>134</v>
      </c>
    </row>
    <row r="4" spans="1:19" x14ac:dyDescent="0.35">
      <c r="A4" t="s">
        <v>116</v>
      </c>
      <c r="B4" s="13" t="s">
        <v>77</v>
      </c>
      <c r="D4" s="65"/>
      <c r="O4" t="s">
        <v>130</v>
      </c>
      <c r="P4" s="65"/>
      <c r="R4" t="s">
        <v>133</v>
      </c>
      <c r="S4" t="s">
        <v>134</v>
      </c>
    </row>
    <row r="5" spans="1:19" x14ac:dyDescent="0.35">
      <c r="A5" t="s">
        <v>116</v>
      </c>
      <c r="B5" s="13" t="s">
        <v>74</v>
      </c>
      <c r="D5" s="65"/>
      <c r="O5" t="str">
        <f>IFERROR(VLOOKUP(PlatformName, PlatformNameToCodeLookup[], 2, FALSE), "")</f>
        <v/>
      </c>
      <c r="P5" s="65"/>
      <c r="R5" t="s">
        <v>135</v>
      </c>
      <c r="S5" t="s">
        <v>138</v>
      </c>
    </row>
    <row r="6" spans="1:19" x14ac:dyDescent="0.35">
      <c r="A6" t="s">
        <v>117</v>
      </c>
      <c r="B6" t="s">
        <v>9</v>
      </c>
      <c r="D6" s="65"/>
      <c r="P6" s="65"/>
      <c r="R6" t="s">
        <v>136</v>
      </c>
      <c r="S6" t="s">
        <v>138</v>
      </c>
    </row>
    <row r="7" spans="1:19" x14ac:dyDescent="0.35">
      <c r="A7" t="s">
        <v>117</v>
      </c>
      <c r="B7" t="s">
        <v>34</v>
      </c>
      <c r="D7" s="65"/>
      <c r="O7" t="s">
        <v>143</v>
      </c>
      <c r="P7" s="65"/>
      <c r="R7" t="s">
        <v>137</v>
      </c>
      <c r="S7" t="s">
        <v>138</v>
      </c>
    </row>
    <row r="8" spans="1:19" x14ac:dyDescent="0.35">
      <c r="A8" t="s">
        <v>118</v>
      </c>
      <c r="B8" t="s">
        <v>36</v>
      </c>
      <c r="D8" s="65"/>
      <c r="O8" t="str">
        <f>IF(ISBLANK(CountryCode),"",CountryCode)</f>
        <v/>
      </c>
      <c r="P8" s="65"/>
      <c r="R8" t="s">
        <v>139</v>
      </c>
      <c r="S8" t="s">
        <v>141</v>
      </c>
    </row>
    <row r="9" spans="1:19" x14ac:dyDescent="0.35">
      <c r="A9" t="s">
        <v>117</v>
      </c>
      <c r="B9" t="s">
        <v>119</v>
      </c>
      <c r="D9" s="65"/>
      <c r="P9" s="65"/>
      <c r="R9" t="s">
        <v>140</v>
      </c>
      <c r="S9" t="s">
        <v>141</v>
      </c>
    </row>
    <row r="10" spans="1:19" x14ac:dyDescent="0.35">
      <c r="A10" t="s">
        <v>118</v>
      </c>
      <c r="B10" t="s">
        <v>1</v>
      </c>
      <c r="D10" s="65"/>
      <c r="O10" t="s">
        <v>2</v>
      </c>
      <c r="P10" s="65"/>
    </row>
    <row r="11" spans="1:19" x14ac:dyDescent="0.35">
      <c r="A11" t="s">
        <v>118</v>
      </c>
      <c r="B11" t="s">
        <v>120</v>
      </c>
      <c r="D11" s="65"/>
      <c r="O11" t="str">
        <f>IF(ISBLANK(C20), "", C20)</f>
        <v/>
      </c>
      <c r="P11" s="65"/>
    </row>
    <row r="12" spans="1:19" x14ac:dyDescent="0.35">
      <c r="A12" t="s">
        <v>110</v>
      </c>
      <c r="B12" t="s">
        <v>21</v>
      </c>
      <c r="D12" s="65"/>
      <c r="P12" s="65"/>
    </row>
    <row r="13" spans="1:19" x14ac:dyDescent="0.35">
      <c r="A13" t="s">
        <v>118</v>
      </c>
      <c r="B13" t="s">
        <v>20</v>
      </c>
      <c r="D13" s="65"/>
      <c r="O13" t="s">
        <v>146</v>
      </c>
      <c r="P13" s="65"/>
    </row>
    <row r="14" spans="1:19" x14ac:dyDescent="0.35">
      <c r="A14" t="s">
        <v>110</v>
      </c>
      <c r="B14" t="s">
        <v>121</v>
      </c>
      <c r="D14" s="65"/>
      <c r="O14" t="str">
        <f>IF(ISBLANK(PlatformName), "", TRIM(SUBSTITUTE(PlatformName, "(EMEA)", "")))</f>
        <v/>
      </c>
      <c r="P14" s="65"/>
    </row>
    <row r="15" spans="1:19" x14ac:dyDescent="0.35">
      <c r="A15" t="s">
        <v>110</v>
      </c>
      <c r="B15" t="s">
        <v>122</v>
      </c>
      <c r="D15" s="65"/>
      <c r="P15" s="65"/>
    </row>
    <row r="16" spans="1:19" x14ac:dyDescent="0.35">
      <c r="A16" t="s">
        <v>123</v>
      </c>
      <c r="B16" t="s">
        <v>124</v>
      </c>
      <c r="D16" s="65"/>
      <c r="O16" t="s">
        <v>147</v>
      </c>
      <c r="P16" s="65"/>
    </row>
    <row r="17" spans="1:16" x14ac:dyDescent="0.35">
      <c r="A17" t="s">
        <v>123</v>
      </c>
      <c r="B17" t="s">
        <v>125</v>
      </c>
      <c r="D17" s="65"/>
      <c r="O17" t="str">
        <f>IF(ISBLANK(C21), "", C21)</f>
        <v/>
      </c>
      <c r="P17" s="65"/>
    </row>
    <row r="18" spans="1:16" x14ac:dyDescent="0.35">
      <c r="A18" t="s">
        <v>118</v>
      </c>
      <c r="B18" t="s">
        <v>0</v>
      </c>
      <c r="D18" s="65"/>
      <c r="P18" s="65"/>
    </row>
    <row r="19" spans="1:16" x14ac:dyDescent="0.35">
      <c r="A19" t="s">
        <v>118</v>
      </c>
      <c r="B19" t="s">
        <v>109</v>
      </c>
      <c r="D19" s="65"/>
      <c r="O19" t="s">
        <v>149</v>
      </c>
      <c r="P19" s="65"/>
    </row>
    <row r="20" spans="1:16" x14ac:dyDescent="0.35">
      <c r="A20" t="s">
        <v>118</v>
      </c>
      <c r="B20" t="s">
        <v>2</v>
      </c>
      <c r="D20" s="65"/>
      <c r="O20" t="str">
        <f>IF(ISBLANK(Client_Name), "", Client_Name)</f>
        <v/>
      </c>
      <c r="P20" s="65"/>
    </row>
    <row r="21" spans="1:16" x14ac:dyDescent="0.35">
      <c r="A21" t="s">
        <v>39</v>
      </c>
      <c r="B21" t="s">
        <v>39</v>
      </c>
      <c r="D21" s="65"/>
      <c r="P21" s="65"/>
    </row>
    <row r="22" spans="1:16" x14ac:dyDescent="0.35">
      <c r="O22" t="s">
        <v>150</v>
      </c>
      <c r="P22" s="65"/>
    </row>
    <row r="23" spans="1:16" x14ac:dyDescent="0.35">
      <c r="O23" t="str">
        <f>IF(ISBLANK(Country),"",Country)</f>
        <v/>
      </c>
      <c r="P23" s="65"/>
    </row>
  </sheetData>
  <mergeCells count="2">
    <mergeCell ref="D2:D21"/>
    <mergeCell ref="P1:P23"/>
  </mergeCells>
  <pageMargins left="0.7" right="0.7" top="0.75" bottom="0.75" header="0.3" footer="0.3"/>
  <pageSetup orientation="portrait" r:id="rId1"/>
  <legacy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C636E-CF4E-44BF-B7A4-4078419A267C}">
  <sheetPr codeName="Sheet21">
    <tabColor theme="4"/>
  </sheetPr>
  <dimension ref="A1:J24"/>
  <sheetViews>
    <sheetView showGridLines="0" workbookViewId="0">
      <pane xSplit="1" topLeftCell="B1" activePane="topRight" state="frozen"/>
      <selection pane="topRight" activeCell="A18" sqref="A18"/>
    </sheetView>
  </sheetViews>
  <sheetFormatPr defaultColWidth="8.90625" defaultRowHeight="15.5" x14ac:dyDescent="0.35"/>
  <cols>
    <col min="1" max="1" width="20" style="44" customWidth="1"/>
    <col min="2" max="2" width="17" style="45" bestFit="1" customWidth="1"/>
    <col min="3" max="3" width="37.453125" style="46" bestFit="1" customWidth="1"/>
    <col min="4" max="4" width="27.6328125" style="44" customWidth="1"/>
    <col min="5" max="5" width="22.54296875" style="44" bestFit="1" customWidth="1"/>
    <col min="6" max="6" width="47" style="44" customWidth="1"/>
    <col min="7" max="7" width="26.36328125" style="44" customWidth="1"/>
    <col min="8" max="8" width="19.81640625" style="44" customWidth="1"/>
    <col min="9" max="9" width="21.90625" style="44" customWidth="1"/>
    <col min="10" max="10" width="14.36328125" style="44" customWidth="1"/>
    <col min="11" max="16384" width="8.90625" style="44"/>
  </cols>
  <sheetData>
    <row r="1" spans="1:10" x14ac:dyDescent="0.35">
      <c r="A1" s="55" t="s">
        <v>154</v>
      </c>
      <c r="B1" s="47" t="s">
        <v>109</v>
      </c>
      <c r="C1" s="47" t="s">
        <v>155</v>
      </c>
      <c r="D1" s="48" t="s">
        <v>156</v>
      </c>
      <c r="E1" s="48" t="s">
        <v>157</v>
      </c>
      <c r="F1" s="49" t="s">
        <v>158</v>
      </c>
      <c r="G1" s="48" t="s">
        <v>159</v>
      </c>
      <c r="H1" s="50" t="s">
        <v>17</v>
      </c>
      <c r="I1" s="50" t="s">
        <v>160</v>
      </c>
      <c r="J1" s="51" t="s">
        <v>161</v>
      </c>
    </row>
    <row r="2" spans="1:10" x14ac:dyDescent="0.35">
      <c r="A2" s="56" t="s">
        <v>162</v>
      </c>
      <c r="B2" s="52" t="s">
        <v>163</v>
      </c>
      <c r="C2" s="53" t="s">
        <v>164</v>
      </c>
      <c r="D2" s="54" t="s">
        <v>162</v>
      </c>
      <c r="E2" s="54" t="s">
        <v>165</v>
      </c>
      <c r="F2" s="54" t="s">
        <v>166</v>
      </c>
      <c r="G2" s="54" t="s">
        <v>167</v>
      </c>
      <c r="H2" s="52" t="s">
        <v>167</v>
      </c>
      <c r="I2" s="52" t="s">
        <v>168</v>
      </c>
      <c r="J2" s="52" t="s">
        <v>169</v>
      </c>
    </row>
    <row r="3" spans="1:10" x14ac:dyDescent="0.35">
      <c r="A3" s="56" t="s">
        <v>170</v>
      </c>
      <c r="B3" s="52" t="s">
        <v>171</v>
      </c>
      <c r="C3" s="53" t="s">
        <v>170</v>
      </c>
      <c r="D3" s="54" t="s">
        <v>170</v>
      </c>
      <c r="E3" s="54" t="s">
        <v>172</v>
      </c>
      <c r="F3" s="54" t="s">
        <v>173</v>
      </c>
      <c r="G3" s="52" t="s">
        <v>174</v>
      </c>
      <c r="H3" s="52" t="s">
        <v>175</v>
      </c>
      <c r="I3" s="52" t="s">
        <v>175</v>
      </c>
      <c r="J3" s="52" t="s">
        <v>175</v>
      </c>
    </row>
    <row r="4" spans="1:10" x14ac:dyDescent="0.35">
      <c r="A4" s="56" t="s">
        <v>176</v>
      </c>
      <c r="B4" s="52" t="s">
        <v>52</v>
      </c>
      <c r="C4" s="53" t="s">
        <v>176</v>
      </c>
      <c r="D4" s="54" t="s">
        <v>176</v>
      </c>
      <c r="E4" s="54" t="s">
        <v>165</v>
      </c>
      <c r="F4" s="54" t="s">
        <v>177</v>
      </c>
      <c r="G4" s="54" t="s">
        <v>167</v>
      </c>
      <c r="H4" s="52" t="s">
        <v>167</v>
      </c>
      <c r="I4" s="52" t="s">
        <v>168</v>
      </c>
      <c r="J4" s="52" t="s">
        <v>169</v>
      </c>
    </row>
    <row r="5" spans="1:10" x14ac:dyDescent="0.35">
      <c r="A5" s="56" t="s">
        <v>178</v>
      </c>
      <c r="B5" s="52" t="s">
        <v>179</v>
      </c>
      <c r="C5" s="53" t="s">
        <v>180</v>
      </c>
      <c r="D5" s="54" t="s">
        <v>178</v>
      </c>
      <c r="E5" s="54" t="s">
        <v>172</v>
      </c>
      <c r="F5" s="54" t="s">
        <v>181</v>
      </c>
      <c r="G5" s="52" t="s">
        <v>174</v>
      </c>
      <c r="H5" s="52" t="s">
        <v>175</v>
      </c>
      <c r="I5" s="52" t="s">
        <v>175</v>
      </c>
      <c r="J5" s="52" t="s">
        <v>175</v>
      </c>
    </row>
    <row r="6" spans="1:10" x14ac:dyDescent="0.35">
      <c r="A6" s="56" t="s">
        <v>182</v>
      </c>
      <c r="B6" s="52" t="s">
        <v>183</v>
      </c>
      <c r="C6" s="53" t="s">
        <v>182</v>
      </c>
      <c r="D6" s="54" t="s">
        <v>182</v>
      </c>
      <c r="E6" s="54" t="s">
        <v>172</v>
      </c>
      <c r="F6" s="54" t="s">
        <v>184</v>
      </c>
      <c r="G6" s="54" t="s">
        <v>167</v>
      </c>
      <c r="H6" s="52" t="s">
        <v>167</v>
      </c>
      <c r="I6" s="52" t="s">
        <v>168</v>
      </c>
      <c r="J6" s="52" t="s">
        <v>169</v>
      </c>
    </row>
    <row r="7" spans="1:10" x14ac:dyDescent="0.35">
      <c r="A7" s="56" t="s">
        <v>151</v>
      </c>
      <c r="B7" s="52" t="s">
        <v>185</v>
      </c>
      <c r="C7" s="53" t="s">
        <v>151</v>
      </c>
      <c r="D7" s="54" t="s">
        <v>151</v>
      </c>
      <c r="E7" s="54" t="s">
        <v>172</v>
      </c>
      <c r="F7" s="54" t="s">
        <v>184</v>
      </c>
      <c r="G7" s="54" t="s">
        <v>167</v>
      </c>
      <c r="H7" s="52" t="s">
        <v>167</v>
      </c>
      <c r="I7" s="52" t="s">
        <v>168</v>
      </c>
      <c r="J7" s="52" t="s">
        <v>169</v>
      </c>
    </row>
    <row r="8" spans="1:10" x14ac:dyDescent="0.35">
      <c r="A8" s="56" t="s">
        <v>186</v>
      </c>
      <c r="B8" s="52" t="s">
        <v>187</v>
      </c>
      <c r="C8" s="53" t="s">
        <v>186</v>
      </c>
      <c r="D8" s="54" t="s">
        <v>186</v>
      </c>
      <c r="E8" s="52" t="s">
        <v>175</v>
      </c>
      <c r="F8" s="52" t="s">
        <v>175</v>
      </c>
      <c r="G8" s="52" t="s">
        <v>153</v>
      </c>
      <c r="H8" s="52" t="s">
        <v>175</v>
      </c>
      <c r="I8" s="52" t="s">
        <v>175</v>
      </c>
      <c r="J8" s="52" t="s">
        <v>175</v>
      </c>
    </row>
    <row r="9" spans="1:10" x14ac:dyDescent="0.35">
      <c r="A9" s="56" t="s">
        <v>188</v>
      </c>
      <c r="B9" s="52" t="s">
        <v>189</v>
      </c>
      <c r="C9" s="53" t="s">
        <v>188</v>
      </c>
      <c r="D9" s="53" t="s">
        <v>188</v>
      </c>
      <c r="E9" s="54" t="s">
        <v>172</v>
      </c>
      <c r="F9" s="54" t="s">
        <v>190</v>
      </c>
      <c r="G9" s="52" t="s">
        <v>174</v>
      </c>
      <c r="H9" s="52" t="s">
        <v>175</v>
      </c>
      <c r="I9" s="52" t="s">
        <v>175</v>
      </c>
      <c r="J9" s="52" t="s">
        <v>175</v>
      </c>
    </row>
    <row r="10" spans="1:10" x14ac:dyDescent="0.35">
      <c r="A10" s="56" t="s">
        <v>191</v>
      </c>
      <c r="B10" s="52" t="s">
        <v>192</v>
      </c>
      <c r="C10" s="53" t="s">
        <v>191</v>
      </c>
      <c r="D10" s="53" t="s">
        <v>191</v>
      </c>
      <c r="E10" s="54" t="s">
        <v>172</v>
      </c>
      <c r="F10" s="52" t="s">
        <v>175</v>
      </c>
      <c r="G10" s="52" t="s">
        <v>174</v>
      </c>
      <c r="H10" s="52" t="s">
        <v>175</v>
      </c>
      <c r="I10" s="52" t="s">
        <v>175</v>
      </c>
      <c r="J10" s="52" t="s">
        <v>175</v>
      </c>
    </row>
    <row r="11" spans="1:10" x14ac:dyDescent="0.35">
      <c r="A11" s="56" t="s">
        <v>193</v>
      </c>
      <c r="B11" s="52" t="s">
        <v>194</v>
      </c>
      <c r="C11" s="53" t="s">
        <v>193</v>
      </c>
      <c r="D11" s="53" t="s">
        <v>193</v>
      </c>
      <c r="E11" s="54" t="s">
        <v>165</v>
      </c>
      <c r="F11" s="54" t="s">
        <v>177</v>
      </c>
      <c r="G11" s="54" t="s">
        <v>167</v>
      </c>
      <c r="H11" s="52" t="s">
        <v>167</v>
      </c>
      <c r="I11" s="52" t="s">
        <v>168</v>
      </c>
      <c r="J11" s="52" t="s">
        <v>169</v>
      </c>
    </row>
    <row r="12" spans="1:10" x14ac:dyDescent="0.35">
      <c r="A12" s="56" t="s">
        <v>195</v>
      </c>
      <c r="B12" s="52" t="s">
        <v>196</v>
      </c>
      <c r="C12" s="53" t="s">
        <v>195</v>
      </c>
      <c r="D12" s="53" t="s">
        <v>195</v>
      </c>
      <c r="E12" s="54" t="s">
        <v>165</v>
      </c>
      <c r="F12" s="54" t="s">
        <v>177</v>
      </c>
      <c r="G12" s="54" t="s">
        <v>167</v>
      </c>
      <c r="H12" s="52" t="s">
        <v>167</v>
      </c>
      <c r="I12" s="52" t="s">
        <v>168</v>
      </c>
      <c r="J12" s="52" t="s">
        <v>169</v>
      </c>
    </row>
    <row r="13" spans="1:10" x14ac:dyDescent="0.35">
      <c r="A13" s="56" t="s">
        <v>197</v>
      </c>
      <c r="B13" s="52" t="s">
        <v>198</v>
      </c>
      <c r="C13" s="53" t="s">
        <v>197</v>
      </c>
      <c r="D13" s="53" t="s">
        <v>197</v>
      </c>
      <c r="E13" s="54" t="s">
        <v>172</v>
      </c>
      <c r="F13" s="54" t="s">
        <v>190</v>
      </c>
      <c r="G13" s="52" t="s">
        <v>174</v>
      </c>
      <c r="H13" s="52" t="s">
        <v>175</v>
      </c>
      <c r="I13" s="52" t="s">
        <v>175</v>
      </c>
      <c r="J13" s="52" t="s">
        <v>175</v>
      </c>
    </row>
    <row r="14" spans="1:10" x14ac:dyDescent="0.35">
      <c r="A14" s="56" t="s">
        <v>199</v>
      </c>
      <c r="B14" s="52" t="s">
        <v>200</v>
      </c>
      <c r="C14" s="53" t="s">
        <v>199</v>
      </c>
      <c r="D14" s="53" t="s">
        <v>199</v>
      </c>
      <c r="E14" s="54" t="s">
        <v>165</v>
      </c>
      <c r="F14" s="54" t="s">
        <v>201</v>
      </c>
      <c r="G14" s="54" t="s">
        <v>202</v>
      </c>
      <c r="H14" s="52" t="s">
        <v>203</v>
      </c>
      <c r="I14" s="52" t="s">
        <v>204</v>
      </c>
      <c r="J14" s="52">
        <v>1480231</v>
      </c>
    </row>
    <row r="15" spans="1:10" x14ac:dyDescent="0.35">
      <c r="A15" s="56" t="s">
        <v>205</v>
      </c>
      <c r="B15" s="52" t="s">
        <v>206</v>
      </c>
      <c r="C15" s="53" t="s">
        <v>205</v>
      </c>
      <c r="D15" s="53" t="s">
        <v>205</v>
      </c>
      <c r="E15" s="54" t="s">
        <v>165</v>
      </c>
      <c r="F15" s="54" t="s">
        <v>177</v>
      </c>
      <c r="G15" s="54" t="s">
        <v>167</v>
      </c>
      <c r="H15" s="52" t="s">
        <v>167</v>
      </c>
      <c r="I15" s="52" t="s">
        <v>168</v>
      </c>
      <c r="J15" s="52" t="s">
        <v>169</v>
      </c>
    </row>
    <row r="16" spans="1:10" x14ac:dyDescent="0.35">
      <c r="A16" s="56" t="s">
        <v>207</v>
      </c>
      <c r="B16" s="52" t="s">
        <v>208</v>
      </c>
      <c r="C16" s="53" t="s">
        <v>207</v>
      </c>
      <c r="D16" s="53" t="s">
        <v>207</v>
      </c>
      <c r="E16" s="54" t="s">
        <v>165</v>
      </c>
      <c r="F16" s="54" t="s">
        <v>177</v>
      </c>
      <c r="G16" s="54" t="s">
        <v>202</v>
      </c>
      <c r="H16" s="52" t="s">
        <v>203</v>
      </c>
      <c r="I16" s="52" t="s">
        <v>209</v>
      </c>
      <c r="J16" s="52">
        <v>1538592</v>
      </c>
    </row>
    <row r="17" spans="1:10" x14ac:dyDescent="0.35">
      <c r="A17" s="57" t="s">
        <v>152</v>
      </c>
      <c r="B17" s="58" t="s">
        <v>210</v>
      </c>
      <c r="C17" s="59" t="s">
        <v>152</v>
      </c>
      <c r="D17" s="59" t="s">
        <v>210</v>
      </c>
      <c r="E17" s="60" t="s">
        <v>172</v>
      </c>
      <c r="F17" s="60" t="s">
        <v>211</v>
      </c>
      <c r="G17" s="60" t="s">
        <v>167</v>
      </c>
      <c r="H17" s="58" t="s">
        <v>167</v>
      </c>
      <c r="I17" s="58" t="s">
        <v>168</v>
      </c>
      <c r="J17" s="58" t="s">
        <v>169</v>
      </c>
    </row>
    <row r="18" spans="1:10" x14ac:dyDescent="0.35">
      <c r="A18" s="57" t="s">
        <v>152</v>
      </c>
      <c r="B18" s="58" t="s">
        <v>212</v>
      </c>
      <c r="C18" s="59" t="s">
        <v>152</v>
      </c>
      <c r="D18" s="59" t="s">
        <v>210</v>
      </c>
      <c r="E18" s="60" t="s">
        <v>172</v>
      </c>
      <c r="F18" s="60" t="s">
        <v>211</v>
      </c>
      <c r="G18" s="60" t="s">
        <v>167</v>
      </c>
      <c r="H18" s="58" t="s">
        <v>167</v>
      </c>
      <c r="I18" s="58" t="s">
        <v>168</v>
      </c>
      <c r="J18" s="58" t="s">
        <v>169</v>
      </c>
    </row>
    <row r="24" spans="1:10" x14ac:dyDescent="0.35">
      <c r="B24" s="45" t="str">
        <f>_xlfn.IFNA(VLOOKUP(CountryCode, KdsEmeaReferenceData[[#All],[Country Code]:[Service Now Country Name]], 3, FALSE), "")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CEE7CE0E5DC4A91266BC962A08BB5" ma:contentTypeVersion="0" ma:contentTypeDescription="Create a new document." ma:contentTypeScope="" ma:versionID="a05c47b08d67baea6b8e32bc91d63a1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B6C0AA-4A52-4EB2-A816-D8FB8A66CC80}">
  <ds:schemaRefs/>
</ds:datastoreItem>
</file>

<file path=customXml/itemProps2.xml><?xml version="1.0" encoding="utf-8"?>
<ds:datastoreItem xmlns:ds="http://schemas.openxmlformats.org/officeDocument/2006/customXml" ds:itemID="{438FD83C-B548-4288-B654-38C12DB7B80E}">
  <ds:schemaRefs/>
</ds:datastoreItem>
</file>

<file path=customXml/itemProps3.xml><?xml version="1.0" encoding="utf-8"?>
<ds:datastoreItem xmlns:ds="http://schemas.openxmlformats.org/officeDocument/2006/customXml" ds:itemID="{A5F03857-125F-4082-AC54-54EBD194194D}">
  <ds:schemaRefs/>
</ds:datastoreItem>
</file>

<file path=customXml/itemProps4.xml><?xml version="1.0" encoding="utf-8"?>
<ds:datastoreItem xmlns:ds="http://schemas.openxmlformats.org/officeDocument/2006/customXml" ds:itemID="{E151BD52-BF65-4B8F-9BA0-0C42CE2ABC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D9614870-DAF6-4C3E-9DDE-8236DB60C62A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E03105CC-05ED-4F4D-92D8-F32E6165B095}">
  <ds:schemaRefs/>
</ds:datastoreItem>
</file>

<file path=customXml/itemProps7.xml><?xml version="1.0" encoding="utf-8"?>
<ds:datastoreItem xmlns:ds="http://schemas.openxmlformats.org/officeDocument/2006/customXml" ds:itemID="{B2ACECE3-BAE9-4D5A-A8DB-7CC099152C43}">
  <ds:schemaRefs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customXml/itemProps8.xml><?xml version="1.0" encoding="utf-8"?>
<ds:datastoreItem xmlns:ds="http://schemas.openxmlformats.org/officeDocument/2006/customXml" ds:itemID="{2E9217BF-65FB-4947-B717-B8279C212DDC}">
  <ds:schemaRefs/>
</ds:datastoreItem>
</file>

<file path=customXml/itemProps9.xml><?xml version="1.0" encoding="utf-8"?>
<ds:datastoreItem xmlns:ds="http://schemas.openxmlformats.org/officeDocument/2006/customXml" ds:itemID="{3BB31237-3B09-4BD2-AD63-2B804039E9A1}">
  <ds:schemaRefs/>
</ds:datastoreItem>
</file>

<file path=customXml/itemProps10.xml><?xml version="1.0" encoding="utf-8"?>
<ds:datastoreItem xmlns:ds="http://schemas.openxmlformats.org/officeDocument/2006/customXml" ds:itemID="{6D75F81A-3D5B-44C2-972A-F0576B0C05DD}">
  <ds:schemaRefs/>
</ds:datastoreItem>
</file>

<file path=customXml/itemProps11.xml><?xml version="1.0" encoding="utf-8"?>
<ds:datastoreItem xmlns:ds="http://schemas.openxmlformats.org/officeDocument/2006/customXml" ds:itemID="{A61C7EC1-4BC5-48C5-A6D8-87E94581F478}">
  <ds:schemaRefs/>
</ds:datastoreItem>
</file>

<file path=customXml/itemProps12.xml><?xml version="1.0" encoding="utf-8"?>
<ds:datastoreItem xmlns:ds="http://schemas.openxmlformats.org/officeDocument/2006/customXml" ds:itemID="{2DE61C81-EEFE-4CEB-9BDE-0B5DE29CE2A4}">
  <ds:schemaRefs/>
</ds:datastoreItem>
</file>

<file path=customXml/itemProps13.xml><?xml version="1.0" encoding="utf-8"?>
<ds:datastoreItem xmlns:ds="http://schemas.openxmlformats.org/officeDocument/2006/customXml" ds:itemID="{598ECF7E-1D6D-42F6-9FAC-25D83DB1CF2A}">
  <ds:schemaRefs/>
</ds:datastoreItem>
</file>

<file path=customXml/itemProps14.xml><?xml version="1.0" encoding="utf-8"?>
<ds:datastoreItem xmlns:ds="http://schemas.openxmlformats.org/officeDocument/2006/customXml" ds:itemID="{03ECD413-F8A2-4164-999A-291C840E6FA6}">
  <ds:schemaRefs/>
</ds:datastoreItem>
</file>

<file path=customXml/itemProps15.xml><?xml version="1.0" encoding="utf-8"?>
<ds:datastoreItem xmlns:ds="http://schemas.openxmlformats.org/officeDocument/2006/customXml" ds:itemID="{A31657AC-6223-4CBC-942E-9A0921A496C1}">
  <ds:schemaRefs/>
</ds:datastoreItem>
</file>

<file path=customXml/itemProps16.xml><?xml version="1.0" encoding="utf-8"?>
<ds:datastoreItem xmlns:ds="http://schemas.openxmlformats.org/officeDocument/2006/customXml" ds:itemID="{9086AAA7-69F2-4D7B-A8E1-BA5B6845BCCF}">
  <ds:schemaRefs/>
</ds:datastoreItem>
</file>

<file path=customXml/itemProps17.xml><?xml version="1.0" encoding="utf-8"?>
<ds:datastoreItem xmlns:ds="http://schemas.openxmlformats.org/officeDocument/2006/customXml" ds:itemID="{2EA7A269-8B21-45C0-A05B-B1DC05200DE9}">
  <ds:schemaRefs/>
</ds:datastoreItem>
</file>

<file path=customXml/itemProps18.xml><?xml version="1.0" encoding="utf-8"?>
<ds:datastoreItem xmlns:ds="http://schemas.openxmlformats.org/officeDocument/2006/customXml" ds:itemID="{C297C1FF-DB90-4B1B-B37D-F676B6077012}">
  <ds:schemaRefs/>
</ds:datastoreItem>
</file>

<file path=customXml/itemProps19.xml><?xml version="1.0" encoding="utf-8"?>
<ds:datastoreItem xmlns:ds="http://schemas.openxmlformats.org/officeDocument/2006/customXml" ds:itemID="{C2BF9EAE-5BE2-4F1F-8F9F-03701E47F00F}">
  <ds:schemaRefs/>
</ds:datastoreItem>
</file>

<file path=customXml/itemProps20.xml><?xml version="1.0" encoding="utf-8"?>
<ds:datastoreItem xmlns:ds="http://schemas.openxmlformats.org/officeDocument/2006/customXml" ds:itemID="{95DF2B1E-A0B2-492D-8099-4BD47CC83A78}">
  <ds:schemaRefs/>
</ds:datastoreItem>
</file>

<file path=customXml/itemProps21.xml><?xml version="1.0" encoding="utf-8"?>
<ds:datastoreItem xmlns:ds="http://schemas.openxmlformats.org/officeDocument/2006/customXml" ds:itemID="{D2801B44-AF87-4846-B2C1-07B5B8BBD8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16</vt:i4>
      </vt:variant>
    </vt:vector>
  </HeadingPairs>
  <TitlesOfParts>
    <vt:vector size="38" baseType="lpstr">
      <vt:lpstr>COMMON</vt:lpstr>
      <vt:lpstr>Profile Synch-DK</vt:lpstr>
      <vt:lpstr>Profile Synch-Profiles</vt:lpstr>
      <vt:lpstr>FOP Setup</vt:lpstr>
      <vt:lpstr>Corporate Deals-Air</vt:lpstr>
      <vt:lpstr>Corporate Deals-Car</vt:lpstr>
      <vt:lpstr>Corporate Deals-Hotel</vt:lpstr>
      <vt:lpstr>Travel Configuration-DK</vt:lpstr>
      <vt:lpstr>Travel Configuration-Company</vt:lpstr>
      <vt:lpstr>Travel Configuration-General</vt:lpstr>
      <vt:lpstr>Client Setup L0</vt:lpstr>
      <vt:lpstr>Client Setup L1</vt:lpstr>
      <vt:lpstr>Client Setup L2</vt:lpstr>
      <vt:lpstr>Policy</vt:lpstr>
      <vt:lpstr>ServiceNow</vt:lpstr>
      <vt:lpstr>ServiceNow-DK</vt:lpstr>
      <vt:lpstr>Client Setup Guest</vt:lpstr>
      <vt:lpstr>Account Set Up</vt:lpstr>
      <vt:lpstr>Supplier - Air</vt:lpstr>
      <vt:lpstr>Suppliers - Non Air</vt:lpstr>
      <vt:lpstr>OneForm_RawData</vt:lpstr>
      <vt:lpstr>Country Mapping</vt:lpstr>
      <vt:lpstr>CAPID4</vt:lpstr>
      <vt:lpstr>CardType</vt:lpstr>
      <vt:lpstr>Client_Name</vt:lpstr>
      <vt:lpstr>Concur_Pre_Trip_Approval</vt:lpstr>
      <vt:lpstr>Country</vt:lpstr>
      <vt:lpstr>CountryCode</vt:lpstr>
      <vt:lpstr>CountryName</vt:lpstr>
      <vt:lpstr>Full_CAPID</vt:lpstr>
      <vt:lpstr>isMtpSelected</vt:lpstr>
      <vt:lpstr>KdsEmeaClientName</vt:lpstr>
      <vt:lpstr>KdsEmeaGDS</vt:lpstr>
      <vt:lpstr>Online_DK</vt:lpstr>
      <vt:lpstr>PlatformCode</vt:lpstr>
      <vt:lpstr>PlatformName</vt:lpstr>
      <vt:lpstr>Region</vt:lpstr>
      <vt:lpstr>selectedMTP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Satyanarayana, Praveen</dc:creator>
  <cp:lastModifiedBy>Makkar, Mohit</cp:lastModifiedBy>
  <dcterms:created xsi:type="dcterms:W3CDTF">2021-02-22T16:56:34Z</dcterms:created>
  <dcterms:modified xsi:type="dcterms:W3CDTF">2021-03-15T17:59:01Z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0x010100538CEE7CE0E5DC4A91266BC962A08BB5</vt:lpwstr>
  </property>
</Properties>
</file>